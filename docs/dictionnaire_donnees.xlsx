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Vérification CGU" sheetId="4" state="visible" r:id="rId6"/>
    <sheet name="Vérification CGU sources" sheetId="5" state="visible" r:id="rId7"/>
    <sheet name="Journal des incident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<sst xmlns="http://schemas.openxmlformats.org/spreadsheetml/2006/main" count="448" uniqueCount="324">
  <si>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</si>
  <si>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</si>
  <si>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</si>
  <si>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</si>
  <si>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</si>
  <si>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</si>
  <si>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</si>
  <si>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</si>
  <si>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</si>
  <si>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</si>
  <si>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</si>
  <si>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</si>
  <si>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</si>
  <si>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</si>
  <si>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</si>
  <si>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</si>
  <si>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</si>
  <si>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</si>
  <si>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</si>
  <si>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</si>
  <si>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</si>
  <si>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 GFZ Potsdam (Kp_ap_Ap_SN_F107_since_1932.txt)</t>
  </si>
  <si>
    <t xml:space="preserve">API</t>
  </si>
  <si>
    <t xml:space="preserve">Court et moyen terme</t>
  </si>
  <si>
    <t xml:space="preserve">Essentielle</t>
  </si>
  <si>
    <t xml:space="preserve">Mesure principale d'activité ; variable cible ou référence</t>
  </si>
  <si>
    <t xml:space="preserve">NOAA : données publiques (à citer) ; GFZ : CC BY 4.0 (taches solaires : CC BY-NC 4.0)</t>
  </si>
  <si>
    <t xml:space="preserve">Collecté (NOAA toutes les heures ; historique GFZ depuis 1932)</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</si>
  <si>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</si>
  <si>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</si>
  <si>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</si>
  <si>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</si>
  <si>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</si>
  <si>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</si>
  <si>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</si>
  <si>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</si>
  <si>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Collecté (NOAA toutes les heures, avec date d'émission)</t>
  </si>
  <si>
    <t xml:space="preserve">Bz (IMF)</t>
  </si>
  <si>
    <t xml:space="preserve">Composante nord-sud du champ magnétique interplanétaire ; négatif = énergie qui entre dans la magnétosphère</t>
  </si>
  <si>
    <t xml:space="preserve">nT</t>
  </si>
  <si>
    <t xml:space="preserve">Minute</t>
  </si>
  <si>
    <t xml:space="preserve">1 fois par heure : moyenne et minimum</t>
  </si>
  <si>
    <t xml:space="preserve">NOAA SWPC (JSON temps réel RTSW, /json/rtsw/rtsw_mag_1m.json)</t>
  </si>
  <si>
    <t xml:space="preserve">Court terme (30 à 60 min)</t>
  </si>
  <si>
    <t xml:space="preserve">Meilleur indicateur d'une aurore imminente</t>
  </si>
  <si>
    <t xml:space="preserve">Collecté (NOAA RTSW toutes les heures ; historique OMNIWeb depuis 2010)</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</si>
  <si>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</si>
  <si>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</si>
  <si>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</si>
  <si>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</si>
  <si>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</si>
  <si>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</si>
  <si>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</si>
  <si>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</si>
  <si>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</si>
  <si>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</si>
  <si>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</si>
  <si>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</si>
  <si>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Collecté (NOAA RTSW ; By GSM dans OMNIWeb)</t>
  </si>
  <si>
    <t xml:space="preserve">Vitesse du vent solaire</t>
  </si>
  <si>
    <t xml:space="preserve">Vitesse des particules du vent solaire</t>
  </si>
  <si>
    <t xml:space="preserve">km/s</t>
  </si>
  <si>
    <t xml:space="preserve">1 fois par heure : moyenne et maximum</t>
  </si>
  <si>
    <t xml:space="preserve">NOAA SWPC (JSON temps réel RTSW, /json/rtsw/rtsw_wind_1m.json)</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</si>
  <si>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</si>
  <si>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</si>
  <si>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</si>
  <si>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</si>
  <si>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</si>
  <si>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</si>
  <si>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</si>
  <si>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</si>
  <si>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1 fois par heure</t>
  </si>
  <si>
    <t xml:space="preserve">NOAA SWPC (JSON, noaa-scales)</t>
  </si>
  <si>
    <t xml:space="preserve">Étiquette lisible pour les agences et les alertes</t>
  </si>
  <si>
    <t xml:space="preserve">Collecté (NOAA toutes les heures)</t>
  </si>
  <si>
    <t xml:space="preserve">Alertes et avertissements</t>
  </si>
  <si>
    <t xml:space="preserve">Alertes, veilles et avertissements émis par NOAA (ex : Kp 5 attendu)</t>
  </si>
  <si>
    <t xml:space="preserve">Texte</t>
  </si>
  <si>
    <t xml:space="preserve">Événementielle</t>
  </si>
  <si>
    <t xml:space="preserve">Toutes les heures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</si>
  <si>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</si>
  <si>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</si>
  <si>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</si>
  <si>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</si>
  <si>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</si>
  <si>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</si>
  <si>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</si>
  <si>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</si>
  <si>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</si>
  <si>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À faire</t>
  </si>
  <si>
    <t xml:space="preserve">Phase de la Lune</t>
  </si>
  <si>
    <t xml:space="preserve">Calculée</t>
  </si>
  <si>
    <t xml:space="preserve">Pourcentage d'illumination de la Lune ; une pleine Lune gêne la visibilité</t>
  </si>
  <si>
    <t xml:space="preserve">% (0 à 100)</t>
  </si>
  <si>
    <t xml:space="preserve">Calcul</t>
  </si>
  <si>
    <t xml:space="preserve">Calculée à la demande</t>
  </si>
  <si>
    <t xml:space="preserve">Bibliothèque astral / ephem</t>
  </si>
  <si>
    <t xml:space="preserve">Calcul local</t>
  </si>
  <si>
    <t xml:space="preserve">N'influence pas l'aurore mais la visibilité</t>
  </si>
  <si>
    <t xml:space="preserve">Sans objet (calcul)</t>
  </si>
  <si>
    <t xml:space="preserve">Nuit noire (début/fin)</t>
  </si>
  <si>
    <t xml:space="preserve">Période de nuit astronomique pour un lieu donné</t>
  </si>
  <si>
    <t xml:space="preserve">Heure locale</t>
  </si>
  <si>
    <t xml:space="preserve">Condition de visibilité de l'aurore</t>
  </si>
  <si>
    <t xml:space="preserve">Nébulosité</t>
  </si>
  <si>
    <t xml:space="preserve">Météo</t>
  </si>
  <si>
    <t xml:space="preserve">Part du ciel couverte par les nuages</t>
  </si>
  <si>
    <t xml:space="preserve">%</t>
  </si>
  <si>
    <t xml:space="preserve">Horaire</t>
  </si>
  <si>
    <t xml:space="preserve">1 fois par jour (prévision + observé de la veille)</t>
  </si>
  <si>
    <t xml:space="preserve">NOAA GHCNh (stations TROMSO, aéroport de Kiruna, gare de Rovaniemi) ; Open-Meteo écarté (robots.txt, INC-002)</t>
  </si>
  <si>
    <t xml:space="preserve">API (fichiers annuels)</t>
  </si>
  <si>
    <t xml:space="preserve">Un ciel couvert empêche de voir l'aurore</t>
  </si>
  <si>
    <t xml:space="preserve">NOAA GHCNh : CC0 (citer NOAA NCEI, DOI 10.25921/jp3d-3v19)</t>
  </si>
  <si>
    <t xml:space="preserve">Historique collecté (NOAA GHCNh 2010 → 24/10/2026) ; prévisions à faire</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</si>
  <si>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</si>
  <si>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</si>
  <si>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</si>
  <si>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</si>
  <si>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</si>
  <si>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</si>
  <si>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</si>
  <si>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</si>
  <si>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</si>
  <si>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</si>
  <si>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</si>
  <si>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</si>
  <si>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</si>
  <si>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</si>
  <si>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</si>
  <si>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</si>
  <si>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</si>
  <si>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</si>
  <si>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</si>
  <si>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</si>
  <si>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</si>
  <si>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</si>
  <si>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</si>
  <si>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</si>
  <si>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</si>
  <si>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</si>
  <si>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</si>
  <si>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</si>
  <si>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</si>
  <si>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</si>
  <si>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Collecté (NOAA toutes les heures), parsing à faire</t>
  </si>
  <si>
    <t xml:space="preserve">Synthèse des variables</t>
  </si>
  <si>
    <t xml:space="preserve">Nombre de variables</t>
  </si>
  <si>
    <t xml:space="preserve">Total</t>
  </si>
  <si>
    <t xml:space="preserve">Variables à collecter via</t>
  </si>
  <si>
    <t xml:space="preserve">Scraping</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</si>
  <si>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</si>
  <si>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</si>
  <si>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</si>
  <si>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</si>
  <si>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</si>
  <si>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</si>
  <si>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</si>
  <si>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</si>
  <si>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jours. Prévoir un backfill (GFZ, OMNIWeb, Open-Meteo archive) puis une collecte continue.</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</si>
  <si>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</si>
  <si>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</si>
  <si>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</si>
  <si>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</si>
  <si>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</si>
  <si>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</si>
  <si>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</si>
  <si>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</si>
  <si>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</si>
  <si>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</si>
  <si>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</si>
  <si>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</si>
  <si>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</si>
  <si>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</si>
  <si>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</si>
  <si>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</si>
  <si>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</si>
  <si>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</si>
  <si>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</si>
  <si>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</si>
  <si>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</si>
  <si>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</si>
  <si>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</si>
  <si>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</si>
  <si>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</si>
  <si>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</si>
  <si>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</si>
  <si>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</si>
  <si>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</si>
  <si>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</si>
  <si>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</si>
  <si>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</si>
  <si>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</si>
  <si>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</si>
  <si>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</si>
  <si>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</si>
  <si>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</si>
  <si>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</si>
  <si>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</si>
  <si>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</si>
  <si>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</si>
  <si>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</si>
  <si>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</si>
  <si>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</si>
  <si>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</si>
  <si>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</si>
  <si>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</si>
  <si>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</si>
  <si>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</si>
  <si>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</si>
  <si>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</si>
  <si>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</si>
  <si>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</si>
  <si>
    <t xml:space="preserve">Vérification juridique : GFZ, NOAA SWPC, OMNIWeb (NASA), Open-Meteo, NOAA GHCNh</t>
  </si>
  <si>
    <t xml:space="preserve">Vérification faite le 26/10/2026 (C1.1.2, cadre réglementaire). Ce n'est pas un avis juridique. Pages lues via un outil de résumé : relire les textes sur les sites avant de les citer.</t>
  </si>
  <si>
    <t xml:space="preserve">Conséquence pour la collecte</t>
  </si>
  <si>
    <t xml:space="preserve">GFZ Potsdam (Kp historique)</t>
  </si>
  <si>
    <t xml:space="preserve">Page de l'indice Kp (GFZ)</t>
  </si>
  <si>
    <t xml:space="preserve">https://gfz.de/en/section/geomagnetism/data-products-services/geomagnetic-kp-index</t>
  </si>
  <si>
    <t xml:space="preserve">Les données de l'indice Kp sont sous licence CC BY 4.0. Le GFZ demande d'être cité comme source des données.</t>
  </si>
  <si>
    <t xml:space="preserve">Citer le GFZ, le jeu de données (Matzka et al., 2021, Geomagnetic Kp index, GFZ Data Services, DOI 10.5880/Kp.0001) et l'article (Matzka et al., 2021, Space Weather, DOI 10.1029/2020SW002641).</t>
  </si>
  <si>
    <t xml:space="preserve">En-tête du fichier Kp_ap_Ap_SN_F107</t>
  </si>
  <si>
    <t xml:space="preserve">https://kp.gfz.de/fileadmin/files_for_gfz_cms/Kp_ap_Ap_SN_F107_nowcast.txt</t>
  </si>
  <si>
    <t xml:space="preserve">CC BY 4.0, sauf le nombre de taches solaires (SN) : CC BY-NC 4.0, fourni par WDC-SILSO (Observatoire royal de Belgique). F10.7 fourni par le Dominion Radio Astrophysical Observatory et Ressources naturelles Canada.</t>
  </si>
  <si>
    <t xml:space="preserve">SN : usage non commercial seulement. Si AuroraCast devient un service payant, retirer SN ou demander l'accord de SILSO. Citer SILSO et DRAO / NRCan.</t>
  </si>
  <si>
    <t xml:space="preserve">Page de téléchargement des données</t>
  </si>
  <si>
    <t xml:space="preserve">https://kp.gfz.de/en/data</t>
  </si>
  <si>
    <t xml:space="preserve">Aucune clause sur l'accès automatisé. La page conseille le téléchargement HTTPS pour les gros volumes.</t>
  </si>
  <si>
    <t xml:space="preserve">Le backfill télécharge le fichier complet en HTTPS, une seule fois, à la demande.</t>
  </si>
  <si>
    <t xml:space="preserve">NOAA SWPC (collecte horaire)</t>
  </si>
  <si>
    <t xml:space="preserve">Avertissement légal du NWS (dont dépend le SWPC)</t>
  </si>
  <si>
    <t xml:space="preserve">https://www.weather.gov/DISCLAIMER.PHP</t>
  </si>
  <si>
    <t xml:space="preserve">Les informations des serveurs du gouvernement sont dans le domaine public, utilisables librement à condition de ne pas se les attribuer, de ne pas laisser croire à un soutien de la NOAA, et de ne pas présenter des données modifiées comme officielles.</t>
  </si>
  <si>
    <t xml:space="preserve">Citer NOAA SWPC comme source. Dans l'application, présenter la prévision comme celle d'AuroraCast, jamais comme une prévision NOAA.</t>
  </si>
  <si>
    <t xml:space="preserve">Fiche data.gov « Space Weather Products »</t>
  </si>
  <si>
    <t xml:space="preserve">https://catalog-old.data.gov/dataset/space-weather-products2</t>
  </si>
  <si>
    <t xml:space="preserve">Considéré comme une œuvre du gouvernement américain. Contraintes d'accès : aucune. Contraintes d'usage : aucune.</t>
  </si>
  <si>
    <t xml:space="preserve">Collecte et réutilisation autorisées.</t>
  </si>
  <si>
    <t xml:space="preserve">Accès automatisé</t>
  </si>
  <si>
    <t xml:space="preserve">https://services.swpc.noaa.gov/</t>
  </si>
  <si>
    <t xml:space="preserve">Aucune mention de limite de requêtes trouvée.</t>
  </si>
  <si>
    <t xml:space="preserve">Bonnes pratiques : une requête par heure et par fichier, User-Agent identifiable avec contact, nouvelles tentatives espacées.</t>
  </si>
  <si>
    <t xml:space="preserve">OMNIWeb (NASA SPDF, vent solaire historique)</t>
  </si>
  <si>
    <t xml:space="preserve">Page « Citing OMNI »</t>
  </si>
  <si>
    <t xml:space="preserve">https://omniweb.gsfc.nasa.gov/html/citing.html</t>
  </si>
  <si>
    <t xml:space="preserve">Citer le jeu de données OMNI horaire par son DOI en ajoutant la date d'accès ; remerciement suggéré : « We acknowledge use of NASA/GSFC's Space Physics Data Facility's OMNIWeb (or CDAWeb or ftp) service, and OMNI data ». Pas d'autre politique d'usage.</t>
  </si>
  <si>
    <t xml:space="preserve">Citer Papitashvili et King (2020), OMNI Hourly Data, DOI 10.48322/1shr-ht18, avec la date d'accès, et King et Papitashvili (2005), DOI 10.1029/2004JA010649.</t>
  </si>
  <si>
    <t xml:space="preserve">Description du format omni2.text</t>
  </si>
  <si>
    <t xml:space="preserve">https://spdf.gsfc.nasa.gov/pub/data/omni/low_res_omni/omni2.text</t>
  </si>
  <si>
    <t xml:space="preserve">Les publications utilisant ces données doivent remercier le Space Physics Data Facility (SPDF).</t>
  </si>
  <si>
    <t xml:space="preserve">Mention du SPDF dans le dossier et la documentation.</t>
  </si>
  <si>
    <t xml:space="preserve">Répertoire public des fichiers annuels</t>
  </si>
  <si>
    <t xml:space="preserve">https://spdf.gsfc.nasa.gov/pub/data/omni/low_res_omni/</t>
  </si>
  <si>
    <t xml:space="preserve">Répertoire public en HTTPS, un fichier par année (omni2_AAAA.dat, environ 2,7 Mo).</t>
  </si>
  <si>
    <t xml:space="preserve">Crawling du répertoire pour découvrir les fichiers, puis téléchargement un par un avec une pause entre deux fichiers.</t>
  </si>
  <si>
    <t xml:space="preserve">Open-Meteo (nébulosité historique, écarté)</t>
  </si>
  <si>
    <t xml:space="preserve">Conditions d'utilisation</t>
  </si>
  <si>
    <t xml:space="preserve">https://open-meteo.com/en/terms</t>
  </si>
  <si>
    <t xml:space="preserve">API gratuite réservée à l'usage non commercial (l'usage éducatif en fait partie ; les sites avec abonnement ou publicité sont commerciaux). Limites : moins de 10 000 appels par jour, 5 000 par heure, 600 par minute, 300 000 par mois.</t>
  </si>
  <si>
    <t xml:space="preserve">Projet de certification : autorisé. Backfill découpé par lieu et par année, avec pause entre les appels. Si AuroraCast devient commercial : abonnement avec clé d'API.</t>
  </si>
  <si>
    <t xml:space="preserve">Licence</t>
  </si>
  <si>
    <t xml:space="preserve">https://open-meteo.com/en/licence</t>
  </si>
  <si>
    <t xml:space="preserve">Données sous CC BY 4.0. Un lien « Weather data by Open-Meteo.com » doit figurer à côté de chaque endroit où les données sont affichées. Sources sous-jacentes listées, dont Copernicus (C3S) et l'ECMWF.</t>
  </si>
  <si>
    <t xml:space="preserve">Afficher le lien Open-Meteo dans le tableau de bord du directeur ; citer Open-Meteo et Copernicus dans le dossier.</t>
  </si>
  <si>
    <t xml:space="preserve">NOAA GHCNh (nébulosité observée)</t>
  </si>
  <si>
    <t xml:space="preserve">Fiche data.gov GHCNh Version 1</t>
  </si>
  <si>
    <t xml:space="preserve">https://catalog.data.gov/dataset/global-historical-climatology-network-hourly-ghcnh-version-1</t>
  </si>
  <si>
    <t xml:space="preserve">Licence CC0 1.0 (domaine public). Remplace le jeu « Global Hourly » (ISD), qui n'est plus mis à jour depuis le 24/08/2025.</t>
  </si>
  <si>
    <t xml:space="preserve">Collecte et réutilisation autorisées, y compris le stockage.</t>
  </si>
  <si>
    <t xml:space="preserve">Registre AWS Open Data « NOAA GHCN-H »</t>
  </si>
  <si>
    <t xml:space="preserve">https://registry.opendata.aws/noaa-ghcnh/</t>
  </si>
  <si>
    <t xml:space="preserve">Fichiers publics dans l'espace noaa-ghcnh-pds (us-east-1). NOAA demande d'être citée pour un usage de données non modifiées et interdit de laisser croire à son soutien.</t>
  </si>
  <si>
    <t xml:space="preserve">Citer NOAA NCEI, GHCNh Version 1, DOI 10.25921/jp3d-3v19. Accès par fichier annuel par station, une requête par fichier avec pause.</t>
  </si>
  <si>
    <t xml:space="preserve">NOAA ISD Global Hourly (écarté)</t>
  </si>
  <si>
    <t xml:space="preserve">Avis NESDIS de changement de service</t>
  </si>
  <si>
    <t xml:space="preserve">https://www.nesdis.noaa.gov/news/service-location-change-integrated-surface-data-global-hourly</t>
  </si>
  <si>
    <t xml:space="preserve">Produit remplacé : plus de mise à jour après le 24/08/2025 ; téléchargement direct retiré le 31/07/2026 ; GHCNh recommandé.</t>
  </si>
  <si>
    <t xml:space="preserve">Écarté : pas de données récentes.</t>
  </si>
  <si>
    <t xml:space="preserve">Toutes les sources</t>
  </si>
  <si>
    <t xml:space="preserve">GFZ, NOAA SWPC, OMNIWeb et NOAA GHCNh autorisent la collecte et la réutilisation pour un projet de certification, à condition de les citer. Open-Meteo est écarté : le robots.txt de son API d'archive interdit l'accès (incident INC-002). Restriction d'usage commercial à retenir : le nombre de taches solaires du fichier GFZ (CC BY-NC 4.0). Obligation d'affichage : une prévision présentée comme celle d'AuroraCast, pas de la NOAA. Le respect du robots.txt est contrôlé automatiquement à chaque collecte.</t>
  </si>
  <si>
    <t xml:space="preserve">Journal des incidents de collecte</t>
  </si>
  <si>
    <t xml:space="preserve">Un incident par ligne, du plus récent au plus ancien (C4.4.2 résolution d'incident, C1.1.2 exhaustivité de la collecte, C4.3.1 supervision).</t>
  </si>
  <si>
    <t xml:space="preserve">N°</t>
  </si>
  <si>
    <t xml:space="preserve">Date de détection</t>
  </si>
  <si>
    <t xml:space="preserve">Source / composant</t>
  </si>
  <si>
    <t xml:space="preserve">Symptôme</t>
  </si>
  <si>
    <t xml:space="preserve">Comment il a été détecté</t>
  </si>
  <si>
    <t xml:space="preserve">Cause</t>
  </si>
  <si>
    <t xml:space="preserve">Impact</t>
  </si>
  <si>
    <t xml:space="preserve">Résolution</t>
  </si>
  <si>
    <t xml:space="preserve">Date de résolution</t>
  </si>
  <si>
    <t xml:space="preserve">Prévention / leçon</t>
  </si>
  <si>
    <t xml:space="preserve">Compétences</t>
  </si>
  <si>
    <t xml:space="preserve">INC-003</t>
  </si>
  <si>
    <t xml:space="preserve">GitHub Actions : planification de la collecte NOAA horaire</t>
  </si>
  <si>
    <t xml:space="preserve">Entre le 26/10 à 19:52 UTC et le 27/10 à 08:40 UTC, seulement 2 passages automatiques (23:40 et 04:32 UTC, environ 33 min de retard) au lieu d'environ 13. Les deux passages ont collecté 9 sources sur 9.</t>
  </si>
  <si>
    <t xml:space="preserve">Comparaison des commits horodatés de la branche raw-data avec la planification (cron « 7 * * * * »).</t>
  </si>
  <si>
    <t xml:space="preserve">L'ordonnanceur de GitHub Actions fonctionne au mieux : la documentation indique que les exécutions planifiées peuvent être retardées, voire supprimées, en période de forte charge, surtout aux heures pleines.</t>
  </si>
  <si>
    <t xml:space="preserve">Kp : aucune perte (le fichier NOAA couvre 7 jours). Vent solaire temps réel : environ 8 h de mesures perdues, à recompléter par OMNIWeb (publié avec environ un mois de retard). Prévisions et alertes émises entre deux passages : en partie perdues.</t>
  </si>
  <si>
    <t xml:space="preserve">Collecte incrémentale du vent solaire : chaque passage reprend après la dernière mesure archivée (lue dans les manifestes précédents), avec 10 min de recouvrement ; une perte n'est possible qu'au-delà de la profondeur du fichier NOAA (environ 2 jours) et elle est alors notée au manifeste (lost_from, lost_to). Deux passages par heure (h17 et h47), loin des heures pleines.</t>
  </si>
  <si>
    <t xml:space="preserve">Correctif déployé, à confirmer sur 24 h</t>
  </si>
  <si>
    <t xml:space="preserve">Ne pas compter sur un ordonnanceur « au mieux » pour une collecte critique : argument pour Airflow (C1.1.3, C4.2.2). Concevoir les collectes pour être rattrapables (incrémentales et idempotentes).</t>
  </si>
  <si>
    <t xml:space="preserve">C4.4.2, C1.1.3, C4.3.1</t>
  </si>
  <si>
    <t xml:space="preserve">INC-002</t>
  </si>
  <si>
    <t xml:space="preserve">Open-Meteo : API d'archive (nébulosité historique)</t>
  </si>
  <si>
    <t xml:space="preserve">Premier backfill : les 51 séries lieu-année Open-Meteo refusées, aucune donnée téléchargée (GFZ et OMNIWeb collectés sans erreur).</t>
  </si>
  <si>
    <t xml:space="preserve">Manifeste du backfill : robots = « lu », allowed = false, erreur « interdit par https://archive-api.open-meteo.com/robots.txt ». Exécution GitHub Actions en échec.</t>
  </si>
  <si>
    <t xml:space="preserve">Le robots.txt du sous-domaine archive-api.open-meteo.com interdit l'accès à tous les robots, alors que les conditions d'utilisation autorisent l'API gratuite en usage non commercial. Le contrôle robots.txt ajouté au collecteur a joué son rôle.</t>
  </si>
  <si>
    <t xml:space="preserve">Pas d'historique de nébulosité. Sans effet sur le modèle de Kp (qui ne dépend pas du lieu) ; bloque l'analyse des nuits dégagées par lieu.</t>
  </si>
  <si>
    <t xml:space="preserve">Décision : appliquer strictement le robots.txt plutôt qu'une exception. Comparaison de sources (NASA POWER interdit par robots.txt ; NOAA ISD figé depuis le 24/08/2025) et choix de NOAA GHCNh (CC0, mis à jour chaque jour, accès autorisé). Open-Meteo retiré du workflow de backfill ; recherche des stations GHCNh proches des lieux cibles.</t>
  </si>
  <si>
    <t xml:space="preserve">Contournement en cours : bascule vers NOAA GHCNh</t>
  </si>
  <si>
    <t xml:space="preserve">Contrôler le robots.txt de chaque hôte (et pas seulement du site principal : open-meteo.com autorise, archive-api.open-meteo.com interdit) avant de retenir une source.</t>
  </si>
  <si>
    <t xml:space="preserve">C1.1.2, C4.4.2, C3.3.3</t>
  </si>
  <si>
    <t xml:space="preserve">INC-001</t>
  </si>
  <si>
    <t xml:space="preserve">NOAA SWPC : vent solaire (champ magnétique et plasma)</t>
  </si>
  <si>
    <t xml:space="preserve">Premier lancement de la collecte horaire (GitHub Actions) : 7 sources sur 9 collectées, les 2 sources du vent solaire en erreur HTTP 404.</t>
  </si>
  <si>
    <t xml:space="preserve">Manifeste de l'exécution (ok = false, http_status = 404) et exécution GitHub Actions marquée en échec par l'étape « Signaler un échec partiel ».</t>
  </si>
  <si>
    <t xml:space="preserve">La NOAA a retiré l'ancien dossier /products/solar-wind/ (mag-*.json, plasma-*.json). Les données sont désormais publiées dans /json/rtsw/ (rtsw_mag_1m.json, rtsw_wind_1m.json).</t>
  </si>
  <si>
    <t xml:space="preserve">Bz, Bt, vitesse et densité du vent solaire (variables essentielles) non collectés pendant ce lancement. Pas de perte durable : la collecte venait de démarrer.</t>
  </si>
  <si>
    <t xml:space="preserve">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 Vérifié le 26/10/2026 à 19:52 UTC (exécution #2) : 9 sources sur 9 collectées, 264 et 248 mesures de vent solaire gardées.</t>
  </si>
  <si>
    <t xml:space="preserve">Résolu</t>
  </si>
  <si>
    <t xml:space="preserve">Lire le manifeste après chaque exécution. Vérifier les URL dans la documentation NOAA : le listing du répertoire affichait encore les anciens fichiers.</t>
  </si>
  <si>
    <t xml:space="preserve">C4.4.2, C1.1.2, C4.3.1</t>
  </si>
</sst>
</file>

<file path=xl/styles.xml><?xml version="1.0" encoding="utf-8"?>
<styleSheet xmlns="http://schemas.openxmlformats.org/spreadsheetml/2006/main">
  <numFmts count="3">
    <numFmt numFmtId="164" formatCode="General"/>
    <numFmt numFmtId="165" formatCode="General"/>
    <numFmt numFmtId="166" formatCode="dd/mm/yyyy"/>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
      <sz val="9"/>
      <color rgb="FF595959"/>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36</v>
      </c>
    </row>
    <row r="7" customFormat="false" ht="34.5" hidden="false" customHeight="true" outlineLevel="0" collapsed="false">
      <c r="A7" s="5" t="s">
        <v>37</v>
      </c>
      <c r="B7" s="6" t="s">
        <v>16</v>
      </c>
      <c r="C7" s="6" t="s">
        <v>38</v>
      </c>
      <c r="D7" s="7" t="s">
        <v>39</v>
      </c>
      <c r="E7" s="6" t="s">
        <v>40</v>
      </c>
      <c r="F7" s="6" t="s">
        <v>41</v>
      </c>
      <c r="G7" s="6" t="s">
        <v>42</v>
      </c>
      <c r="H7" s="6" t="s">
        <v>22</v>
      </c>
      <c r="I7" s="7" t="s">
        <v>43</v>
      </c>
      <c r="J7" s="7" t="s">
        <v>24</v>
      </c>
      <c r="K7" s="6" t="s">
        <v>44</v>
      </c>
      <c r="L7" s="6" t="s">
        <v>35</v>
      </c>
      <c r="M7" s="7" t="s">
        <v>45</v>
      </c>
    </row>
    <row r="8" customFormat="false" ht="15" hidden="false" customHeight="true" outlineLevel="0" collapsed="false">
      <c r="A8" s="5" t="s">
        <v>46</v>
      </c>
      <c r="B8" s="6" t="s">
        <v>16</v>
      </c>
      <c r="C8" s="6" t="s">
        <v>47</v>
      </c>
      <c r="D8" s="7" t="s">
        <v>39</v>
      </c>
      <c r="E8" s="6" t="s">
        <v>40</v>
      </c>
      <c r="F8" s="6" t="s">
        <v>48</v>
      </c>
      <c r="G8" s="6" t="s">
        <v>42</v>
      </c>
      <c r="H8" s="6" t="s">
        <v>22</v>
      </c>
      <c r="I8" s="7" t="s">
        <v>49</v>
      </c>
      <c r="J8" s="7" t="s">
        <v>50</v>
      </c>
      <c r="K8" s="6" t="s">
        <v>51</v>
      </c>
      <c r="L8" s="6" t="s">
        <v>35</v>
      </c>
      <c r="M8" s="7" t="s">
        <v>45</v>
      </c>
    </row>
    <row r="9" customFormat="false" ht="23.25" hidden="false" customHeight="true" outlineLevel="0" collapsed="false">
      <c r="A9" s="5" t="s">
        <v>52</v>
      </c>
      <c r="B9" s="6" t="s">
        <v>16</v>
      </c>
      <c r="C9" s="6" t="s">
        <v>53</v>
      </c>
      <c r="D9" s="7" t="s">
        <v>54</v>
      </c>
      <c r="E9" s="6" t="s">
        <v>40</v>
      </c>
      <c r="F9" s="6" t="s">
        <v>55</v>
      </c>
      <c r="G9" s="6" t="s">
        <v>42</v>
      </c>
      <c r="H9" s="6" t="s">
        <v>22</v>
      </c>
      <c r="I9" s="7" t="s">
        <v>49</v>
      </c>
      <c r="J9" s="7" t="s">
        <v>56</v>
      </c>
      <c r="K9" s="6" t="s">
        <v>57</v>
      </c>
      <c r="L9" s="6" t="s">
        <v>35</v>
      </c>
      <c r="M9" s="7" t="s">
        <v>58</v>
      </c>
    </row>
    <row r="10" customFormat="false" ht="23.25" hidden="false" customHeight="true" outlineLevel="0" collapsed="false">
      <c r="A10" s="5" t="s">
        <v>59</v>
      </c>
      <c r="B10" s="6" t="s">
        <v>16</v>
      </c>
      <c r="C10" s="6" t="s">
        <v>60</v>
      </c>
      <c r="D10" s="7" t="s">
        <v>61</v>
      </c>
      <c r="E10" s="6" t="s">
        <v>40</v>
      </c>
      <c r="F10" s="6" t="s">
        <v>62</v>
      </c>
      <c r="G10" s="6" t="s">
        <v>63</v>
      </c>
      <c r="H10" s="6" t="s">
        <v>22</v>
      </c>
      <c r="I10" s="7" t="s">
        <v>49</v>
      </c>
      <c r="J10" s="7" t="s">
        <v>24</v>
      </c>
      <c r="K10" s="6" t="s">
        <v>64</v>
      </c>
      <c r="L10" s="6" t="s">
        <v>35</v>
      </c>
      <c r="M10" s="7" t="s">
        <v>45</v>
      </c>
    </row>
    <row r="11" customFormat="false" ht="15" hidden="false" customHeight="true" outlineLevel="0" collapsed="false">
      <c r="A11" s="5" t="s">
        <v>65</v>
      </c>
      <c r="B11" s="6" t="s">
        <v>16</v>
      </c>
      <c r="C11" s="6" t="s">
        <v>66</v>
      </c>
      <c r="D11" s="7" t="s">
        <v>67</v>
      </c>
      <c r="E11" s="6" t="s">
        <v>40</v>
      </c>
      <c r="F11" s="6" t="s">
        <v>48</v>
      </c>
      <c r="G11" s="6" t="s">
        <v>63</v>
      </c>
      <c r="H11" s="6" t="s">
        <v>22</v>
      </c>
      <c r="I11" s="7" t="s">
        <v>49</v>
      </c>
      <c r="J11" s="7" t="s">
        <v>24</v>
      </c>
      <c r="K11" s="6" t="s">
        <v>68</v>
      </c>
      <c r="L11" s="6" t="s">
        <v>35</v>
      </c>
      <c r="M11" s="7" t="s">
        <v>45</v>
      </c>
    </row>
    <row r="12" customFormat="false" ht="15" hidden="false" customHeight="true" outlineLevel="0" collapsed="false">
      <c r="A12" s="5" t="s">
        <v>69</v>
      </c>
      <c r="B12" s="6" t="s">
        <v>16</v>
      </c>
      <c r="C12" s="6" t="s">
        <v>70</v>
      </c>
      <c r="D12" s="7" t="s">
        <v>71</v>
      </c>
      <c r="E12" s="6" t="s">
        <v>2</v>
      </c>
      <c r="F12" s="6" t="s">
        <v>72</v>
      </c>
      <c r="G12" s="6" t="s">
        <v>73</v>
      </c>
      <c r="H12" s="6" t="s">
        <v>22</v>
      </c>
      <c r="I12" s="7" t="s">
        <v>23</v>
      </c>
      <c r="J12" s="7" t="s">
        <v>50</v>
      </c>
      <c r="K12" s="6" t="s">
        <v>74</v>
      </c>
      <c r="L12" s="6" t="s">
        <v>35</v>
      </c>
      <c r="M12" s="7" t="s">
        <v>75</v>
      </c>
    </row>
    <row r="13" customFormat="false" ht="23.25" hidden="false" customHeight="true" outlineLevel="0" collapsed="false">
      <c r="A13" s="5" t="s">
        <v>76</v>
      </c>
      <c r="B13" s="6" t="s">
        <v>16</v>
      </c>
      <c r="C13" s="6" t="s">
        <v>77</v>
      </c>
      <c r="D13" s="7" t="s">
        <v>78</v>
      </c>
      <c r="E13" s="6" t="s">
        <v>79</v>
      </c>
      <c r="F13" s="6" t="s">
        <v>80</v>
      </c>
      <c r="G13" s="6" t="s">
        <v>81</v>
      </c>
      <c r="H13" s="6" t="s">
        <v>22</v>
      </c>
      <c r="I13" s="7" t="s">
        <v>49</v>
      </c>
      <c r="J13" s="7" t="s">
        <v>50</v>
      </c>
      <c r="K13" s="6" t="s">
        <v>82</v>
      </c>
      <c r="L13" s="6" t="s">
        <v>35</v>
      </c>
      <c r="M13" s="7" t="s">
        <v>75</v>
      </c>
    </row>
    <row r="14" customFormat="false" ht="23.25" hidden="false" customHeight="true" outlineLevel="0" collapsed="false">
      <c r="A14" s="5" t="s">
        <v>83</v>
      </c>
      <c r="B14" s="6" t="s">
        <v>16</v>
      </c>
      <c r="C14" s="6" t="s">
        <v>84</v>
      </c>
      <c r="D14" s="7" t="s">
        <v>39</v>
      </c>
      <c r="E14" s="6" t="s">
        <v>2</v>
      </c>
      <c r="F14" s="6" t="s">
        <v>85</v>
      </c>
      <c r="G14" s="6" t="s">
        <v>86</v>
      </c>
      <c r="H14" s="6" t="s">
        <v>87</v>
      </c>
      <c r="I14" s="7" t="s">
        <v>87</v>
      </c>
      <c r="J14" s="7" t="s">
        <v>88</v>
      </c>
      <c r="K14" s="6" t="s">
        <v>89</v>
      </c>
      <c r="L14" s="6" t="s">
        <v>87</v>
      </c>
      <c r="M14" s="7" t="s">
        <v>90</v>
      </c>
    </row>
    <row r="15" customFormat="false" ht="23.25" hidden="false" customHeight="true" outlineLevel="0" collapsed="false">
      <c r="A15" s="5" t="s">
        <v>91</v>
      </c>
      <c r="B15" s="6" t="s">
        <v>92</v>
      </c>
      <c r="C15" s="6" t="s">
        <v>93</v>
      </c>
      <c r="D15" s="7" t="s">
        <v>94</v>
      </c>
      <c r="E15" s="6" t="s">
        <v>95</v>
      </c>
      <c r="F15" s="6" t="s">
        <v>96</v>
      </c>
      <c r="G15" s="6" t="s">
        <v>97</v>
      </c>
      <c r="H15" s="6" t="s">
        <v>98</v>
      </c>
      <c r="I15" s="7" t="s">
        <v>87</v>
      </c>
      <c r="J15" s="7" t="s">
        <v>50</v>
      </c>
      <c r="K15" s="6" t="s">
        <v>99</v>
      </c>
      <c r="L15" s="6" t="s">
        <v>100</v>
      </c>
      <c r="M15" s="7" t="s">
        <v>90</v>
      </c>
    </row>
    <row r="16" customFormat="false" ht="15" hidden="false" customHeight="true" outlineLevel="0" collapsed="false">
      <c r="A16" s="5" t="s">
        <v>101</v>
      </c>
      <c r="B16" s="6" t="s">
        <v>92</v>
      </c>
      <c r="C16" s="6" t="s">
        <v>102</v>
      </c>
      <c r="D16" s="7" t="s">
        <v>103</v>
      </c>
      <c r="E16" s="6" t="s">
        <v>95</v>
      </c>
      <c r="F16" s="6" t="s">
        <v>96</v>
      </c>
      <c r="G16" s="6" t="s">
        <v>97</v>
      </c>
      <c r="H16" s="6" t="s">
        <v>98</v>
      </c>
      <c r="I16" s="7" t="s">
        <v>87</v>
      </c>
      <c r="J16" s="7" t="s">
        <v>24</v>
      </c>
      <c r="K16" s="6" t="s">
        <v>104</v>
      </c>
      <c r="L16" s="6" t="s">
        <v>100</v>
      </c>
      <c r="M16" s="7" t="s">
        <v>90</v>
      </c>
    </row>
    <row r="17" customFormat="false" ht="23.25" hidden="false" customHeight="true" outlineLevel="0" collapsed="false">
      <c r="A17" s="5" t="s">
        <v>105</v>
      </c>
      <c r="B17" s="6" t="s">
        <v>106</v>
      </c>
      <c r="C17" s="6" t="s">
        <v>107</v>
      </c>
      <c r="D17" s="7" t="s">
        <v>108</v>
      </c>
      <c r="E17" s="6" t="s">
        <v>109</v>
      </c>
      <c r="F17" s="6" t="s">
        <v>110</v>
      </c>
      <c r="G17" s="6" t="s">
        <v>111</v>
      </c>
      <c r="H17" s="6" t="s">
        <v>112</v>
      </c>
      <c r="I17" s="7" t="s">
        <v>23</v>
      </c>
      <c r="J17" s="7" t="s">
        <v>24</v>
      </c>
      <c r="K17" s="6" t="s">
        <v>113</v>
      </c>
      <c r="L17" s="6" t="s">
        <v>114</v>
      </c>
      <c r="M17" s="7" t="s">
        <v>115</v>
      </c>
    </row>
    <row r="18" customFormat="false" ht="23.25" hidden="false" customHeight="true" outlineLevel="0" collapsed="false">
      <c r="A18" s="5" t="s">
        <v>116</v>
      </c>
      <c r="B18" s="6" t="s">
        <v>117</v>
      </c>
      <c r="C18" s="6" t="s">
        <v>118</v>
      </c>
      <c r="D18" s="7" t="s">
        <v>119</v>
      </c>
      <c r="E18" s="6" t="s">
        <v>120</v>
      </c>
      <c r="F18" s="6" t="s">
        <v>121</v>
      </c>
      <c r="G18" s="6" t="s">
        <v>122</v>
      </c>
      <c r="H18" s="6" t="s">
        <v>123</v>
      </c>
      <c r="I18" s="7" t="s">
        <v>33</v>
      </c>
      <c r="J18" s="7" t="s">
        <v>50</v>
      </c>
      <c r="K18" s="6" t="s">
        <v>124</v>
      </c>
      <c r="L18" s="6" t="s">
        <v>125</v>
      </c>
      <c r="M18" s="7" t="s">
        <v>90</v>
      </c>
    </row>
    <row r="19" customFormat="false" ht="23.25" hidden="false" customHeight="true" outlineLevel="0" collapsed="false">
      <c r="A19" s="5" t="s">
        <v>126</v>
      </c>
      <c r="B19" s="6" t="s">
        <v>117</v>
      </c>
      <c r="C19" s="6" t="s">
        <v>127</v>
      </c>
      <c r="D19" s="7" t="s">
        <v>128</v>
      </c>
      <c r="E19" s="6" t="s">
        <v>40</v>
      </c>
      <c r="F19" s="6" t="s">
        <v>80</v>
      </c>
      <c r="G19" s="6" t="s">
        <v>129</v>
      </c>
      <c r="H19" s="6" t="s">
        <v>123</v>
      </c>
      <c r="I19" s="7" t="s">
        <v>49</v>
      </c>
      <c r="J19" s="7" t="s">
        <v>50</v>
      </c>
      <c r="K19" s="6" t="s">
        <v>130</v>
      </c>
      <c r="L19" s="6" t="s">
        <v>35</v>
      </c>
      <c r="M19" s="7" t="s">
        <v>90</v>
      </c>
    </row>
    <row r="20" customFormat="false" ht="23.25" hidden="false" customHeight="true" outlineLevel="0" collapsed="false">
      <c r="A20" s="5" t="s">
        <v>131</v>
      </c>
      <c r="B20" s="6" t="s">
        <v>117</v>
      </c>
      <c r="C20" s="6" t="s">
        <v>132</v>
      </c>
      <c r="D20" s="7" t="s">
        <v>133</v>
      </c>
      <c r="E20" s="6" t="s">
        <v>40</v>
      </c>
      <c r="F20" s="6" t="s">
        <v>134</v>
      </c>
      <c r="G20" s="6" t="s">
        <v>135</v>
      </c>
      <c r="H20" s="6" t="s">
        <v>123</v>
      </c>
      <c r="I20" s="7" t="s">
        <v>49</v>
      </c>
      <c r="J20" s="7" t="s">
        <v>56</v>
      </c>
      <c r="K20" s="6" t="s">
        <v>136</v>
      </c>
      <c r="L20" s="6" t="s">
        <v>137</v>
      </c>
      <c r="M20" s="7" t="s">
        <v>90</v>
      </c>
    </row>
    <row r="21" customFormat="false" ht="23.25" hidden="false" customHeight="true" outlineLevel="0" collapsed="false">
      <c r="A21" s="5" t="s">
        <v>138</v>
      </c>
      <c r="B21" s="6" t="s">
        <v>117</v>
      </c>
      <c r="C21" s="6" t="s">
        <v>139</v>
      </c>
      <c r="D21" s="7" t="s">
        <v>78</v>
      </c>
      <c r="E21" s="6" t="s">
        <v>140</v>
      </c>
      <c r="F21" s="6" t="s">
        <v>141</v>
      </c>
      <c r="G21" s="6" t="s">
        <v>142</v>
      </c>
      <c r="H21" s="6" t="s">
        <v>143</v>
      </c>
      <c r="I21" s="7" t="s">
        <v>144</v>
      </c>
      <c r="J21" s="7" t="s">
        <v>50</v>
      </c>
      <c r="K21" s="6" t="s">
        <v>145</v>
      </c>
      <c r="L21" s="6" t="s">
        <v>35</v>
      </c>
      <c r="M21" s="7" t="s">
        <v>146</v>
      </c>
    </row>
  </sheetData>
  <conditionalFormatting sqref="J5:J21">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21">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21" type="list">
      <formula1>"À faire,En cours,Terminé"</formula1>
      <formula2>0</formula2>
    </dataValidation>
    <dataValidation allowBlank="false" errorStyle="stop" operator="between" showDropDown="false" showErrorMessage="false" showInputMessage="false" sqref="J5:J21"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147</v>
      </c>
    </row>
    <row r="3" customFormat="false" ht="15" hidden="false" customHeight="true" outlineLevel="0" collapsed="false">
      <c r="A3" s="8" t="s">
        <v>11</v>
      </c>
      <c r="B3" s="8" t="s">
        <v>148</v>
      </c>
    </row>
    <row r="4" customFormat="false" ht="15" hidden="false" customHeight="true" outlineLevel="0" collapsed="false">
      <c r="A4" s="9" t="s">
        <v>24</v>
      </c>
      <c r="B4" s="10" t="n">
        <f aca="false">COUNTIF('Dictionnaire de données'!$J$5:$J$21,A4)</f>
        <v>7</v>
      </c>
    </row>
    <row r="5" customFormat="false" ht="15" hidden="false" customHeight="true" outlineLevel="0" collapsed="false">
      <c r="A5" s="9" t="s">
        <v>50</v>
      </c>
      <c r="B5" s="10" t="n">
        <f aca="false">COUNTIF('Dictionnaire de données'!$J$5:$J$21,A5)</f>
        <v>7</v>
      </c>
    </row>
    <row r="6" customFormat="false" ht="15" hidden="false" customHeight="true" outlineLevel="0" collapsed="false">
      <c r="A6" s="9" t="s">
        <v>56</v>
      </c>
      <c r="B6" s="10" t="n">
        <f aca="false">COUNTIF('Dictionnaire de données'!$J$5:$J$21,A6)</f>
        <v>2</v>
      </c>
    </row>
    <row r="7" customFormat="false" ht="15" hidden="false" customHeight="true" outlineLevel="0" collapsed="false">
      <c r="A7" s="9" t="s">
        <v>88</v>
      </c>
      <c r="B7" s="10" t="n">
        <f aca="false">COUNTIF('Dictionnaire de données'!$J$5:$J$21,A7)</f>
        <v>1</v>
      </c>
    </row>
    <row r="8" customFormat="false" ht="15" hidden="false" customHeight="true" outlineLevel="0" collapsed="false">
      <c r="A8" s="11" t="s">
        <v>149</v>
      </c>
      <c r="B8" s="12" t="n">
        <f aca="false">SUM(B4:B7)</f>
        <v>17</v>
      </c>
    </row>
    <row r="10" customFormat="false" ht="15" hidden="false" customHeight="true" outlineLevel="0" collapsed="false">
      <c r="A10" s="13" t="s">
        <v>150</v>
      </c>
    </row>
    <row r="11" customFormat="false" ht="15" hidden="false" customHeight="true" outlineLevel="0" collapsed="false">
      <c r="A11" s="9" t="s">
        <v>22</v>
      </c>
      <c r="B11" s="10" t="n">
        <f aca="false">COUNTIF('Dictionnaire de données'!$H$5:$H$21,"*"&amp;A11&amp;"*")</f>
        <v>14</v>
      </c>
    </row>
    <row r="12" customFormat="false" ht="15" hidden="false" customHeight="true" outlineLevel="0" collapsed="false">
      <c r="A12" s="9" t="s">
        <v>151</v>
      </c>
      <c r="B12" s="10" t="n">
        <f aca="false">COUNTIF('Dictionnaire de données'!$H$5:$H$21,"*"&amp;A12&amp;"*")</f>
        <v>5</v>
      </c>
    </row>
    <row r="13" customFormat="false" ht="15" hidden="false" customHeight="true" outlineLevel="0" collapsed="false">
      <c r="A13" s="9" t="s">
        <v>98</v>
      </c>
      <c r="B13" s="10" t="n">
        <f aca="false">COUNTIF('Dictionnaire de données'!$H$5:$H$21,"*"&amp;A13&amp;"*")</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152</v>
      </c>
    </row>
    <row r="3" customFormat="false" ht="15" hidden="false" customHeight="true" outlineLevel="0" collapsed="false">
      <c r="A3" s="14" t="s">
        <v>153</v>
      </c>
      <c r="B3" s="14" t="s">
        <v>154</v>
      </c>
    </row>
    <row r="4" customFormat="false" ht="23.25" hidden="false" customHeight="true" outlineLevel="0" collapsed="false">
      <c r="A4" s="15" t="s">
        <v>155</v>
      </c>
      <c r="B4" s="16" t="s">
        <v>156</v>
      </c>
    </row>
    <row r="5" customFormat="false" ht="15" hidden="false" customHeight="true" outlineLevel="0" collapsed="false">
      <c r="A5" s="15" t="s">
        <v>157</v>
      </c>
      <c r="B5" s="16" t="s">
        <v>158</v>
      </c>
    </row>
    <row r="6" customFormat="false" ht="23.25" hidden="false" customHeight="true" outlineLevel="0" collapsed="false">
      <c r="A6" s="15" t="s">
        <v>159</v>
      </c>
      <c r="B6" s="16" t="s">
        <v>160</v>
      </c>
    </row>
    <row r="7" customFormat="false" ht="15" hidden="false" customHeight="true" outlineLevel="0" collapsed="false">
      <c r="A7" s="15" t="s">
        <v>161</v>
      </c>
      <c r="B7" s="16" t="s">
        <v>162</v>
      </c>
    </row>
    <row r="8" customFormat="false" ht="15" hidden="false" customHeight="true" outlineLevel="0" collapsed="false">
      <c r="A8" s="15" t="s">
        <v>163</v>
      </c>
      <c r="B8" s="16" t="s">
        <v>164</v>
      </c>
    </row>
    <row r="9" customFormat="false" ht="23.25" hidden="false" customHeight="true" outlineLevel="0" collapsed="false">
      <c r="A9" s="15" t="s">
        <v>165</v>
      </c>
      <c r="B9" s="16" t="s">
        <v>166</v>
      </c>
    </row>
    <row r="10" customFormat="false" ht="15" hidden="false" customHeight="true" outlineLevel="0" collapsed="false">
      <c r="A10" s="15" t="s">
        <v>137</v>
      </c>
      <c r="B10" s="16" t="s">
        <v>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168</v>
      </c>
    </row>
    <row r="2" customFormat="false" ht="15" hidden="false" customHeight="true" outlineLevel="0" collapsed="false">
      <c r="A2" s="3" t="s">
        <v>169</v>
      </c>
    </row>
    <row r="4" customFormat="false" ht="15" hidden="false" customHeight="true" outlineLevel="0" collapsed="false">
      <c r="A4" s="17" t="s">
        <v>170</v>
      </c>
      <c r="B4" s="17" t="s">
        <v>171</v>
      </c>
      <c r="C4" s="17" t="s">
        <v>172</v>
      </c>
      <c r="D4" s="17" t="s">
        <v>173</v>
      </c>
      <c r="E4" s="17" t="s">
        <v>174</v>
      </c>
    </row>
    <row r="5" customFormat="false" ht="94.5" hidden="false" customHeight="true" outlineLevel="0" collapsed="false">
      <c r="A5" s="15" t="s">
        <v>175</v>
      </c>
      <c r="B5" s="16" t="s">
        <v>176</v>
      </c>
      <c r="C5" s="16" t="s">
        <v>177</v>
      </c>
      <c r="D5" s="16" t="s">
        <v>178</v>
      </c>
      <c r="E5" s="16" t="s">
        <v>179</v>
      </c>
    </row>
    <row r="6" customFormat="false" ht="94.5" hidden="false" customHeight="true" outlineLevel="0" collapsed="false">
      <c r="A6" s="15" t="s">
        <v>175</v>
      </c>
      <c r="B6" s="16" t="s">
        <v>176</v>
      </c>
      <c r="C6" s="16" t="s">
        <v>180</v>
      </c>
      <c r="D6" s="16" t="s">
        <v>181</v>
      </c>
      <c r="E6" s="16" t="s">
        <v>182</v>
      </c>
    </row>
    <row r="7" customFormat="false" ht="94.5" hidden="false" customHeight="true" outlineLevel="0" collapsed="false">
      <c r="A7" s="15" t="s">
        <v>175</v>
      </c>
      <c r="B7" s="16" t="s">
        <v>176</v>
      </c>
      <c r="C7" s="16" t="s">
        <v>183</v>
      </c>
      <c r="D7" s="16" t="s">
        <v>184</v>
      </c>
      <c r="E7" s="16" t="s">
        <v>185</v>
      </c>
    </row>
    <row r="8" customFormat="false" ht="94.5" hidden="false" customHeight="true" outlineLevel="0" collapsed="false">
      <c r="A8" s="15" t="s">
        <v>186</v>
      </c>
      <c r="B8" s="16" t="s">
        <v>187</v>
      </c>
      <c r="C8" s="16" t="s">
        <v>188</v>
      </c>
      <c r="D8" s="16" t="s">
        <v>189</v>
      </c>
      <c r="E8" s="16" t="s">
        <v>190</v>
      </c>
    </row>
    <row r="9" customFormat="false" ht="94.5" hidden="false" customHeight="true" outlineLevel="0" collapsed="false">
      <c r="A9" s="15" t="s">
        <v>191</v>
      </c>
      <c r="B9" s="16" t="s">
        <v>87</v>
      </c>
      <c r="C9" s="16" t="s">
        <v>192</v>
      </c>
      <c r="D9" s="16" t="s">
        <v>193</v>
      </c>
      <c r="E9" s="16" t="s">
        <v>194</v>
      </c>
    </row>
    <row r="10" customFormat="false" ht="69.75" hidden="false" customHeight="true" outlineLevel="0" collapsed="false">
      <c r="A10" s="15" t="s">
        <v>195</v>
      </c>
      <c r="B10" s="16" t="s">
        <v>196</v>
      </c>
      <c r="C10" s="16" t="s">
        <v>197</v>
      </c>
      <c r="D10" s="16" t="s">
        <v>198</v>
      </c>
      <c r="E10" s="16" t="s">
        <v>199</v>
      </c>
    </row>
    <row r="11" customFormat="false" ht="69.75" hidden="false" customHeight="true" outlineLevel="0" collapsed="false">
      <c r="A11" s="15" t="s">
        <v>195</v>
      </c>
      <c r="B11" s="16" t="s">
        <v>196</v>
      </c>
      <c r="C11" s="16" t="s">
        <v>200</v>
      </c>
      <c r="D11" s="16" t="s">
        <v>201</v>
      </c>
      <c r="E11" s="16" t="s">
        <v>202</v>
      </c>
    </row>
    <row r="12" customFormat="false" ht="69.75" hidden="false" customHeight="true" outlineLevel="0" collapsed="false">
      <c r="A12" s="15" t="s">
        <v>195</v>
      </c>
      <c r="B12" s="16" t="s">
        <v>196</v>
      </c>
      <c r="C12" s="16" t="s">
        <v>203</v>
      </c>
      <c r="D12" s="16" t="s">
        <v>204</v>
      </c>
      <c r="E12" s="16" t="s">
        <v>205</v>
      </c>
    </row>
    <row r="13" customFormat="false" ht="69.75" hidden="false" customHeight="true" outlineLevel="0" collapsed="false">
      <c r="A13" s="15" t="s">
        <v>195</v>
      </c>
      <c r="B13" s="16" t="s">
        <v>196</v>
      </c>
      <c r="C13" s="16" t="s">
        <v>206</v>
      </c>
      <c r="D13" s="16" t="s">
        <v>207</v>
      </c>
      <c r="E13" s="16" t="s">
        <v>208</v>
      </c>
    </row>
    <row r="14" customFormat="false" ht="69.75" hidden="false" customHeight="true" outlineLevel="0" collapsed="false">
      <c r="A14" s="15" t="s">
        <v>195</v>
      </c>
      <c r="B14" s="16" t="s">
        <v>196</v>
      </c>
      <c r="C14" s="16" t="s">
        <v>209</v>
      </c>
      <c r="D14" s="16" t="s">
        <v>210</v>
      </c>
      <c r="E14" s="16" t="s">
        <v>211</v>
      </c>
    </row>
    <row r="16" customFormat="false" ht="15" hidden="false" customHeight="true" outlineLevel="0" collapsed="false">
      <c r="A16" s="18" t="s">
        <v>212</v>
      </c>
    </row>
    <row r="17" customFormat="false" ht="94.5" hidden="false" customHeight="true" outlineLevel="0" collapsed="false">
      <c r="A17" s="19" t="s">
        <v>213</v>
      </c>
      <c r="B17" s="19"/>
      <c r="C17" s="19"/>
      <c r="D17" s="19"/>
      <c r="E17" s="19"/>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8"/>
    <col collapsed="false" customWidth="true" hidden="false" outlineLevel="0" max="3" min="3" style="1" width="48"/>
    <col collapsed="false" customWidth="true" hidden="false" outlineLevel="0" max="4" min="4" style="1" width="70"/>
    <col collapsed="false" customWidth="true" hidden="false" outlineLevel="0" max="5" min="5" style="1" width="60"/>
  </cols>
  <sheetData>
    <row r="1" customFormat="false" ht="17.25" hidden="false" customHeight="true" outlineLevel="0" collapsed="false">
      <c r="A1" s="2" t="s">
        <v>214</v>
      </c>
    </row>
    <row r="2" customFormat="false" ht="15" hidden="false" customHeight="true" outlineLevel="0" collapsed="false">
      <c r="A2" s="20" t="s">
        <v>215</v>
      </c>
    </row>
    <row r="4" customFormat="false" ht="15" hidden="false" customHeight="true" outlineLevel="0" collapsed="false">
      <c r="A4" s="17" t="s">
        <v>8</v>
      </c>
      <c r="B4" s="17" t="s">
        <v>170</v>
      </c>
      <c r="C4" s="17" t="s">
        <v>171</v>
      </c>
      <c r="D4" s="17" t="s">
        <v>173</v>
      </c>
      <c r="E4" s="17" t="s">
        <v>216</v>
      </c>
    </row>
    <row r="5" customFormat="false" ht="34.5" hidden="false" customHeight="true" outlineLevel="0" collapsed="false">
      <c r="A5" s="16" t="s">
        <v>217</v>
      </c>
      <c r="B5" s="16" t="s">
        <v>218</v>
      </c>
      <c r="C5" s="16" t="s">
        <v>219</v>
      </c>
      <c r="D5" s="16" t="s">
        <v>220</v>
      </c>
      <c r="E5" s="16" t="s">
        <v>221</v>
      </c>
    </row>
    <row r="6" customFormat="false" ht="34.5" hidden="false" customHeight="true" outlineLevel="0" collapsed="false">
      <c r="A6" s="16" t="s">
        <v>217</v>
      </c>
      <c r="B6" s="16" t="s">
        <v>222</v>
      </c>
      <c r="C6" s="16" t="s">
        <v>223</v>
      </c>
      <c r="D6" s="16" t="s">
        <v>224</v>
      </c>
      <c r="E6" s="16" t="s">
        <v>225</v>
      </c>
    </row>
    <row r="7" customFormat="false" ht="23.25" hidden="false" customHeight="true" outlineLevel="0" collapsed="false">
      <c r="A7" s="16" t="s">
        <v>217</v>
      </c>
      <c r="B7" s="16" t="s">
        <v>226</v>
      </c>
      <c r="C7" s="16" t="s">
        <v>227</v>
      </c>
      <c r="D7" s="16" t="s">
        <v>228</v>
      </c>
      <c r="E7" s="16" t="s">
        <v>229</v>
      </c>
    </row>
    <row r="8" customFormat="false" ht="45.75" hidden="false" customHeight="true" outlineLevel="0" collapsed="false">
      <c r="A8" s="16" t="s">
        <v>230</v>
      </c>
      <c r="B8" s="16" t="s">
        <v>231</v>
      </c>
      <c r="C8" s="16" t="s">
        <v>232</v>
      </c>
      <c r="D8" s="16" t="s">
        <v>233</v>
      </c>
      <c r="E8" s="16" t="s">
        <v>234</v>
      </c>
    </row>
    <row r="9" customFormat="false" ht="23.25" hidden="false" customHeight="true" outlineLevel="0" collapsed="false">
      <c r="A9" s="16" t="s">
        <v>230</v>
      </c>
      <c r="B9" s="16" t="s">
        <v>235</v>
      </c>
      <c r="C9" s="16" t="s">
        <v>236</v>
      </c>
      <c r="D9" s="16" t="s">
        <v>237</v>
      </c>
      <c r="E9" s="16" t="s">
        <v>238</v>
      </c>
    </row>
    <row r="10" customFormat="false" ht="23.25" hidden="false" customHeight="true" outlineLevel="0" collapsed="false">
      <c r="A10" s="16" t="s">
        <v>230</v>
      </c>
      <c r="B10" s="16" t="s">
        <v>239</v>
      </c>
      <c r="C10" s="16" t="s">
        <v>240</v>
      </c>
      <c r="D10" s="16" t="s">
        <v>241</v>
      </c>
      <c r="E10" s="16" t="s">
        <v>242</v>
      </c>
    </row>
    <row r="11" customFormat="false" ht="45.75" hidden="false" customHeight="true" outlineLevel="0" collapsed="false">
      <c r="A11" s="16" t="s">
        <v>243</v>
      </c>
      <c r="B11" s="16" t="s">
        <v>244</v>
      </c>
      <c r="C11" s="16" t="s">
        <v>245</v>
      </c>
      <c r="D11" s="16" t="s">
        <v>246</v>
      </c>
      <c r="E11" s="16" t="s">
        <v>247</v>
      </c>
    </row>
    <row r="12" customFormat="false" ht="23.25" hidden="false" customHeight="true" outlineLevel="0" collapsed="false">
      <c r="A12" s="16" t="s">
        <v>243</v>
      </c>
      <c r="B12" s="16" t="s">
        <v>248</v>
      </c>
      <c r="C12" s="16" t="s">
        <v>249</v>
      </c>
      <c r="D12" s="16" t="s">
        <v>250</v>
      </c>
      <c r="E12" s="16" t="s">
        <v>251</v>
      </c>
    </row>
    <row r="13" customFormat="false" ht="23.25" hidden="false" customHeight="true" outlineLevel="0" collapsed="false">
      <c r="A13" s="16" t="s">
        <v>243</v>
      </c>
      <c r="B13" s="16" t="s">
        <v>252</v>
      </c>
      <c r="C13" s="16" t="s">
        <v>253</v>
      </c>
      <c r="D13" s="16" t="s">
        <v>254</v>
      </c>
      <c r="E13" s="16" t="s">
        <v>255</v>
      </c>
    </row>
    <row r="14" customFormat="false" ht="34.5" hidden="false" customHeight="true" outlineLevel="0" collapsed="false">
      <c r="A14" s="16" t="s">
        <v>256</v>
      </c>
      <c r="B14" s="16" t="s">
        <v>257</v>
      </c>
      <c r="C14" s="16" t="s">
        <v>258</v>
      </c>
      <c r="D14" s="16" t="s">
        <v>259</v>
      </c>
      <c r="E14" s="16" t="s">
        <v>260</v>
      </c>
    </row>
    <row r="15" customFormat="false" ht="34.5" hidden="false" customHeight="true" outlineLevel="0" collapsed="false">
      <c r="A15" s="16" t="s">
        <v>256</v>
      </c>
      <c r="B15" s="16" t="s">
        <v>261</v>
      </c>
      <c r="C15" s="16" t="s">
        <v>262</v>
      </c>
      <c r="D15" s="16" t="s">
        <v>263</v>
      </c>
      <c r="E15" s="16" t="s">
        <v>264</v>
      </c>
    </row>
    <row r="16" customFormat="false" ht="45.75" hidden="false" customHeight="true" outlineLevel="0" collapsed="false">
      <c r="A16" s="18" t="s">
        <v>265</v>
      </c>
      <c r="B16" s="1" t="s">
        <v>266</v>
      </c>
      <c r="C16" s="1" t="s">
        <v>267</v>
      </c>
      <c r="D16" s="1" t="s">
        <v>268</v>
      </c>
      <c r="E16" s="1" t="s">
        <v>269</v>
      </c>
    </row>
    <row r="17" customFormat="false" ht="15" hidden="false" customHeight="true" outlineLevel="0" collapsed="false">
      <c r="A17" s="1" t="s">
        <v>265</v>
      </c>
      <c r="B17" s="1" t="s">
        <v>270</v>
      </c>
      <c r="C17" s="1" t="s">
        <v>271</v>
      </c>
      <c r="D17" s="1" t="s">
        <v>272</v>
      </c>
      <c r="E17" s="1" t="s">
        <v>273</v>
      </c>
    </row>
    <row r="18" customFormat="false" ht="15" hidden="false" customHeight="true" outlineLevel="0" collapsed="false">
      <c r="A18" s="16" t="s">
        <v>274</v>
      </c>
      <c r="B18" s="16" t="s">
        <v>275</v>
      </c>
      <c r="C18" s="16" t="s">
        <v>276</v>
      </c>
      <c r="D18" s="16" t="s">
        <v>277</v>
      </c>
      <c r="E18" s="16" t="s">
        <v>278</v>
      </c>
    </row>
    <row r="19" customFormat="false" ht="15" hidden="false" customHeight="true" outlineLevel="0" collapsed="false">
      <c r="A19" s="16" t="s">
        <v>279</v>
      </c>
    </row>
    <row r="21" customFormat="false" ht="15" hidden="false" customHeight="true" outlineLevel="0" collapsed="false">
      <c r="A21" s="18" t="s">
        <v>212</v>
      </c>
    </row>
    <row r="22" customFormat="false" ht="75" hidden="false" customHeight="true" outlineLevel="0" collapsed="false">
      <c r="A22" s="19" t="s">
        <v>280</v>
      </c>
      <c r="B22" s="19"/>
      <c r="C22" s="19"/>
      <c r="D22" s="19"/>
      <c r="E22" s="19"/>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6"/>
    <col collapsed="false" customWidth="true" hidden="false" outlineLevel="0" max="4" min="4" style="1" width="40"/>
    <col collapsed="false" customWidth="true" hidden="false" outlineLevel="0" max="5" min="5" style="1" width="36"/>
    <col collapsed="false" customWidth="true" hidden="false" outlineLevel="0" max="6" min="6" style="1" width="44"/>
    <col collapsed="false" customWidth="true" hidden="false" outlineLevel="0" max="7" min="7" style="1" width="40"/>
    <col collapsed="false" customWidth="true" hidden="false" outlineLevel="0" max="8" min="8" style="1" width="52"/>
    <col collapsed="false" customWidth="true" hidden="false" outlineLevel="0" max="9" min="9" style="1" width="14"/>
    <col collapsed="false" customWidth="true" hidden="false" outlineLevel="0" max="10" min="10" style="1" width="22"/>
    <col collapsed="false" customWidth="true" hidden="false" outlineLevel="0" max="11" min="11" style="1" width="44"/>
    <col collapsed="false" customWidth="true" hidden="false" outlineLevel="0" max="12" min="12" style="1" width="18"/>
  </cols>
  <sheetData>
    <row r="1" customFormat="false" ht="17.25" hidden="false" customHeight="true" outlineLevel="0" collapsed="false">
      <c r="A1" s="2" t="s">
        <v>281</v>
      </c>
    </row>
    <row r="2" customFormat="false" ht="15" hidden="false" customHeight="true" outlineLevel="0" collapsed="false">
      <c r="A2" s="20" t="s">
        <v>282</v>
      </c>
    </row>
    <row r="4" customFormat="false" ht="30" hidden="false" customHeight="true" outlineLevel="0" collapsed="false">
      <c r="A4" s="17" t="s">
        <v>283</v>
      </c>
      <c r="B4" s="17" t="s">
        <v>284</v>
      </c>
      <c r="C4" s="17" t="s">
        <v>285</v>
      </c>
      <c r="D4" s="17" t="s">
        <v>286</v>
      </c>
      <c r="E4" s="17" t="s">
        <v>287</v>
      </c>
      <c r="F4" s="17" t="s">
        <v>288</v>
      </c>
      <c r="G4" s="17" t="s">
        <v>289</v>
      </c>
      <c r="H4" s="17" t="s">
        <v>290</v>
      </c>
      <c r="I4" s="17" t="s">
        <v>291</v>
      </c>
      <c r="J4" s="17" t="s">
        <v>14</v>
      </c>
      <c r="K4" s="17" t="s">
        <v>292</v>
      </c>
      <c r="L4" s="17" t="s">
        <v>293</v>
      </c>
    </row>
    <row r="5" customFormat="false" ht="57" hidden="false" customHeight="true" outlineLevel="0" collapsed="false">
      <c r="A5" s="16" t="s">
        <v>294</v>
      </c>
      <c r="B5" s="21" t="n">
        <v>46322</v>
      </c>
      <c r="C5" s="16" t="s">
        <v>295</v>
      </c>
      <c r="D5" s="16" t="s">
        <v>296</v>
      </c>
      <c r="E5" s="16" t="s">
        <v>297</v>
      </c>
      <c r="F5" s="16" t="s">
        <v>298</v>
      </c>
      <c r="G5" s="16" t="s">
        <v>299</v>
      </c>
      <c r="H5" s="16" t="s">
        <v>300</v>
      </c>
      <c r="I5" s="21"/>
      <c r="J5" s="16" t="s">
        <v>301</v>
      </c>
      <c r="K5" s="16" t="s">
        <v>302</v>
      </c>
      <c r="L5" s="16" t="s">
        <v>303</v>
      </c>
    </row>
    <row r="6" customFormat="false" ht="79.5" hidden="false" customHeight="true" outlineLevel="0" collapsed="false">
      <c r="A6" s="16" t="s">
        <v>304</v>
      </c>
      <c r="B6" s="21" t="n">
        <v>46321</v>
      </c>
      <c r="C6" s="16" t="s">
        <v>305</v>
      </c>
      <c r="D6" s="16" t="s">
        <v>306</v>
      </c>
      <c r="E6" s="16" t="s">
        <v>307</v>
      </c>
      <c r="F6" s="16" t="s">
        <v>308</v>
      </c>
      <c r="G6" s="16" t="s">
        <v>309</v>
      </c>
      <c r="H6" s="16" t="s">
        <v>310</v>
      </c>
      <c r="I6" s="21"/>
      <c r="J6" s="16" t="s">
        <v>311</v>
      </c>
      <c r="K6" s="16" t="s">
        <v>312</v>
      </c>
      <c r="L6" s="16" t="s">
        <v>313</v>
      </c>
    </row>
    <row r="7" customFormat="false" ht="79.85" hidden="false" customHeight="false" outlineLevel="0" collapsed="false">
      <c r="A7" s="16" t="s">
        <v>314</v>
      </c>
      <c r="B7" s="21" t="n">
        <v>46321</v>
      </c>
      <c r="C7" s="16" t="s">
        <v>315</v>
      </c>
      <c r="D7" s="16" t="s">
        <v>316</v>
      </c>
      <c r="E7" s="16" t="s">
        <v>317</v>
      </c>
      <c r="F7" s="16" t="s">
        <v>318</v>
      </c>
      <c r="G7" s="16" t="s">
        <v>319</v>
      </c>
      <c r="H7" s="16" t="s">
        <v>320</v>
      </c>
      <c r="I7" s="21" t="n">
        <v>46321</v>
      </c>
      <c r="J7" s="16" t="s">
        <v>321</v>
      </c>
      <c r="K7" s="16" t="s">
        <v>322</v>
      </c>
      <c r="L7" s="16" t="s">
        <v>323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2026-10-27T08:45:09Z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