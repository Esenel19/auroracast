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Techniques de collecte" sheetId="4" state="visible" r:id="rId6"/>
    <sheet name="GSOD et GHCNh" sheetId="5" state="visible" r:id="rId7"/>
    <sheet name="Vérification CGU" sheetId="6" state="visible" r:id="rId8"/>
    <sheet name="Vérification CGU sources" sheetId="7" state="visible" r:id="rId9"/>
    <sheet name="Journal des inciden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<sst xmlns="http://schemas.openxmlformats.org/spreadsheetml/2006/main" count="635" uniqueCount="441">
  <si>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</si>
  <si>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</si>
  <si>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</si>
  <si>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</si>
  <si>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</si>
  <si>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</si>
  <si>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</si>
  <si>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</si>
  <si>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</si>
  <si>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</si>
  <si>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</si>
  <si>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</si>
  <si>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</si>
  <si>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</si>
  <si>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</si>
  <si>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</si>
  <si>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</si>
  <si>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</si>
  <si>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</si>
  <si>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</si>
  <si>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</si>
  <si>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</si>
  <si>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</si>
  <si>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</si>
  <si>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</si>
  <si>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</si>
  <si>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</si>
  <si>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</si>
  <si>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</si>
  <si>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</si>
  <si>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</si>
  <si>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</si>
  <si>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</si>
  <si>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</si>
  <si>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</si>
  <si>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</si>
  <si>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</si>
  <si>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</si>
  <si>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</si>
  <si>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</si>
  <si>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</si>
  <si>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</si>
  <si>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</si>
  <si>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</si>
  <si>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</si>
  <si>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</si>
  <si>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</si>
  <si>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</si>
  <si>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</si>
  <si>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</si>
  <si>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</si>
  <si>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</si>
  <si>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</si>
  <si>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</si>
  <si>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</si>
  <si>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</si>
  <si>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</si>
  <si>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</si>
  <si>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</si>
  <si>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</si>
  <si>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</si>
  <si>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</si>
  <si>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</si>
  <si>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</si>
  <si>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</si>
  <si>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</si>
  <si>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</si>
  <si>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</si>
  <si>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</si>
  <si>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</si>
  <si>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</si>
  <si>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</si>
  <si>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</si>
  <si>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</si>
  <si>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</si>
  <si>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</si>
  <si>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</si>
  <si>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</si>
  <si>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</si>
  <si>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</si>
  <si>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</si>
  <si>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</si>
  <si>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</si>
  <si>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</si>
  <si>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</si>
  <si>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</si>
  <si>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</si>
  <si>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</si>
  <si>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</si>
  <si>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</si>
  <si>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</si>
  <si>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</si>
  <si>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</si>
  <si>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</si>
  <si>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</si>
  <si>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</si>
  <si>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</si>
  <si>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</si>
  <si>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</si>
  <si>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</si>
  <si>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</si>
  <si>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</si>
  <si>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</si>
  <si>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</si>
  <si>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</si>
  <si>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</si>
  <si>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</si>
  <si>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</si>
  <si>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</si>
  <si>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</si>
  <si>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</si>
  <si>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NOAA GHCNh (stations TROMSO, aéroport de Kiruna, gare de Rovaniemi) ; Open-Meteo écarté (robots.txt, INC-002)</t>
  </si>
  <si>
    <t xml:space="preserve">API (fichiers annuels)</t>
  </si>
  <si>
    <t xml:space="preserve">Un ciel couvert empêche de voir l'aurore</t>
  </si>
  <si>
    <t xml:space="preserve">NOAA GHCNh : CC0 (citer NOAA NCEI, DOI 10.25921/jp3d-3v19)</t>
  </si>
  <si>
    <t xml:space="preserve">Historique collecté (NOAA GHCNh 2010 → 24/10/2026) ; prévisions à faire</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</si>
  <si>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</si>
  <si>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</si>
  <si>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</si>
  <si>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</si>
  <si>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</si>
  <si>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</si>
  <si>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</si>
  <si>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</si>
  <si>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</si>
  <si>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</si>
  <si>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</si>
  <si>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</si>
  <si>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</si>
  <si>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</si>
  <si>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</si>
  <si>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</si>
  <si>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</si>
  <si>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</si>
  <si>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</si>
  <si>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</si>
  <si>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</si>
  <si>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</si>
  <si>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</si>
  <si>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</si>
  <si>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</si>
  <si>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</si>
  <si>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</si>
  <si>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</si>
  <si>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</si>
  <si>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</si>
  <si>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</si>
  <si>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</si>
  <si>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</si>
  <si>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</si>
  <si>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Horaire (GHCNh) ; journalière (GSOD)</t>
  </si>
  <si>
    <t xml:space="preserve">GSOD : une fois (base figée) ; GHCNh : chaque jour, lignes nouvelles seulement</t>
  </si>
  <si>
    <t xml:space="preserve">NOAA NCEI GSOD par SQL (BigQuery bigquery-public-data.noaa_gsod, 2010 → 24/08/2025) ; NOAA GHCNh horaire, mêmes stations (TROMSO, aéroport de Kiruna, gare de Rovaniemi), 2010 → hier</t>
  </si>
  <si>
    <t xml:space="preserve">Requêtes SQL (BigQuery) + API (fichiers GHCNh)</t>
  </si>
  <si>
    <t xml:space="preserve">Contexte saisonnier ; froid sec souvent associé à un ciel dégagé</t>
  </si>
  <si>
    <t xml:space="preserve">NOAA NCEI GSOD : données publiques, sans garantie (citer NCEI) ; NOAA GHCNh : CC0 (DOI 10.25921/jp3d-3v19) ; requêtes BigQuery gratuites jusqu'à 1 To par mois</t>
  </si>
  <si>
    <t xml:space="preserve">Collecté et nettoyé : GSOD (weather_daily) et GHCNh (weather_hourly, mis à jour chaque jour) ; contrôle croisé de la température : écart moyen 0,03 à 0,09 °C ; prévisions à faire</t>
  </si>
  <si>
    <t xml:space="preserve">Point de rosée et humidité relative</t>
  </si>
  <si>
    <t xml:space="preserve">Point de rosée mesuré ; humidité relative calculée (formule de Magnus, à partir des moyennes du jour)</t>
  </si>
  <si>
    <t xml:space="preserve">°C / %</t>
  </si>
  <si>
    <t xml:space="preserve">Risque de brouillard et de givre</t>
  </si>
  <si>
    <t xml:space="preserve">Visibilité</t>
  </si>
  <si>
    <t xml:space="preserve">Visibilité horizontale, en km ; GSOD : moyenne du jour convertie des miles ; GHCNh : par heure. Messages METAR (aéroport de Kiruna) plafonnés à 10 km (« 10 km ou plus », colonne visibility_capped)</t>
  </si>
  <si>
    <t xml:space="preserve">km</t>
  </si>
  <si>
    <t xml:space="preserve">Brume et brouillard masquent le ciel comme les nuages</t>
  </si>
  <si>
    <t xml:space="preserve">Brouillard (jour signalé)</t>
  </si>
  <si>
    <t xml:space="preserve">Brouillard signalé : GSOD = au moins une fois dans la journée ; GHCNh = par heure, d'après le temps présent WMO (abréviation FG, code manuel 40-49, automatique 30-35) ; brume (BR, code 10) en colonne séparée</t>
  </si>
  <si>
    <t xml:space="preserve">Booléen</t>
  </si>
  <si>
    <t xml:space="preserve">Ciel bouché en pleine saison des aurores (4 à 6 jours par mois en octobre-novembre à Kiruna et Rovaniemi)</t>
  </si>
  <si>
    <t xml:space="preserve">Vent (moyen et maximum)</t>
  </si>
  <si>
    <t xml:space="preserve">Vitesse (et direction pour GHCNh) du vent, en m/s ; direction 999 = vent calme ou variable</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</si>
  <si>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</si>
  <si>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</si>
  <si>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</si>
  <si>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</si>
  <si>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</si>
  <si>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Historique : une fois</t>
  </si>
  <si>
    <t xml:space="preserve">NOAA NCEI GSOD, base publique BigQuery bigquery-public-data.noaa_gsod (stations TROMSO, KIRUNA, ROVANIEMI RAUTATIEASEMA)</t>
  </si>
  <si>
    <t xml:space="preserve">Requêtes SQL (BigQuery)</t>
  </si>
  <si>
    <t xml:space="preserve">Exploitable seulement à Tromsø (92 % des jours) ; inutilisable à Kiruna et Rovaniemi (0 %)</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</si>
  <si>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</si>
  <si>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à faire</t>
  </si>
  <si>
    <t xml:space="preserve">Pression au niveau de la mer</t>
  </si>
  <si>
    <t xml:space="preserve">Pression atmosphérique ramenée au niveau de la mer</t>
  </si>
  <si>
    <t xml:space="preserve">hPa</t>
  </si>
  <si>
    <t xml:space="preserve">Chaque jour, lignes nouvelles seulement</t>
  </si>
  <si>
    <t xml:space="preserve">NOAA GHCNh horaire (TROMSO, aéroport de Kiruna, gare de Rovaniemi), 2010 → hier</t>
  </si>
  <si>
    <t xml:space="preserve">API (fichiers GHCNh)</t>
  </si>
  <si>
    <t xml:space="preserve">Une pression qui monte annonce souvent un ciel qui se dégage ; à tester en sélection de variables</t>
  </si>
  <si>
    <t xml:space="preserve">NOAA GHCNh : CC0 (DOI 10.25921/jp3d-3v19)</t>
  </si>
  <si>
    <t xml:space="preserve">Collecté et nettoyé (weather_hourly, 2010 → hier) ; prévisions à faire</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</si>
  <si>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</si>
  <si>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</si>
  <si>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</si>
  <si>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</si>
  <si>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</si>
  <si>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</si>
  <si>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</si>
  <si>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</si>
  <si>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</si>
  <si>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</si>
  <si>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</si>
  <si>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</si>
  <si>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</si>
  <si>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</si>
  <si>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</si>
  <si>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</si>
  <si>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</si>
  <si>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</si>
  <si>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</si>
  <si>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</si>
  <si>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</si>
  <si>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</si>
  <si>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AuroraCast – Techniques de collecte (C1.1.2)</t>
  </si>
  <si>
    <t xml:space="preserve">Mis à jour le 29/10/2026. GHCNh : accès HTTP aux fichiers du service NOAA Open Data (classé « API » dans les manifestes).</t>
  </si>
  <si>
    <t xml:space="preserve">Technique</t>
  </si>
  <si>
    <t xml:space="preserve">Données collectées</t>
  </si>
  <si>
    <t xml:space="preserve">Accès</t>
  </si>
  <si>
    <t xml:space="preserve">Code</t>
  </si>
  <si>
    <t xml:space="preserve">Fréquence</t>
  </si>
  <si>
    <t xml:space="preserve">NOAA SWPC</t>
  </si>
  <si>
    <t xml:space="preserve">Kp observé et prévu, Kp minute, vent solaire temps réel (Bz, vitesse, densité), échelles NOAA, alertes</t>
  </si>
  <si>
    <t xml:space="preserve">services.swpc.noaa.gov (JSON)</t>
  </si>
  <si>
    <t xml:space="preserve">src/auroracast/collect/noaa.py</t>
  </si>
  <si>
    <t xml:space="preserve">NOAA GHCNh</t>
  </si>
  <si>
    <t xml:space="preserve">Observations horaires des 3 stations : nuages, température, humidité, pression, vent, visibilité, temps présent</t>
  </si>
  <si>
    <t xml:space="preserve">noaa-ghcnh-pds.s3.amazonaws.com (fichiers annuels par station)</t>
  </si>
  <si>
    <t xml:space="preserve">src/auroracast/collect/ghcnh.py</t>
  </si>
  <si>
    <t xml:space="preserve">Chaque jour (lignes nouvelles)</t>
  </si>
  <si>
    <t xml:space="preserve">Prévision à 3 jours rédigée, indices géomagnétiques du jour</t>
  </si>
  <si>
    <t xml:space="preserve">services.swpc.noaa.gov/text/ (fichiers texte)</t>
  </si>
  <si>
    <t xml:space="preserve">Crawling</t>
  </si>
  <si>
    <t xml:space="preserve">OMNIWeb (NASA SPDF)</t>
  </si>
  <si>
    <t xml:space="preserve">Vent solaire et champ magnétique interplanétaire horaires depuis 2010</t>
  </si>
  <si>
    <t xml:space="preserve">spdf.gsfc.nasa.gov/pub/data/omni/low_res_omni/ (parcours de l'index)</t>
  </si>
  <si>
    <t xml:space="preserve">src/auroracast/collect/omni.py</t>
  </si>
  <si>
    <t xml:space="preserve">Backfill à la demande</t>
  </si>
  <si>
    <t xml:space="preserve">NOAA GSOD</t>
  </si>
  <si>
    <t xml:space="preserve">Météo quotidienne 2010 → 24/08/2025 : température, rosée, visibilité, brouillard, vent, précipitations</t>
  </si>
  <si>
    <t xml:space="preserve">BigQuery bigquery-public-data.noaa_gsod</t>
  </si>
  <si>
    <t xml:space="preserve">src/auroracast/collect/gsod.py</t>
  </si>
  <si>
    <t xml:space="preserve">Backfill à la demande (base figée)</t>
  </si>
  <si>
    <t xml:space="preserve">Fichier</t>
  </si>
  <si>
    <t xml:space="preserve">GFZ Potsdam</t>
  </si>
  <si>
    <t xml:space="preserve">Kp, ap, Ap, taches solaires et flux F10.7 depuis 1932</t>
  </si>
  <si>
    <t xml:space="preserve">kp.gfz.de (Kp_ap_Ap_SN_F107_since_1932.txt)</t>
  </si>
  <si>
    <t xml:space="preserve">src/auroracast/collect/gfz.py</t>
  </si>
  <si>
    <t xml:space="preserve">Synthèse</t>
  </si>
  <si>
    <t xml:space="preserve">Nombre de sources</t>
  </si>
  <si>
    <t xml:space="preserve">Météo au sol : deux sources pour les mêmes stations</t>
  </si>
  <si>
    <t xml:space="preserve">Contrôle croisé de la température moyenne du jour : écart moyen de 0,03 à 0,09 °C selon le lieu (rapport de qualité du 29/10/2026).</t>
  </si>
  <si>
    <t xml:space="preserve">GSOD</t>
  </si>
  <si>
    <t xml:space="preserve">GHCNh</t>
  </si>
  <si>
    <t xml:space="preserve">Accès HTTP aux fichiers (classé API)</t>
  </si>
  <si>
    <t xml:space="preserve">Une mesure par jour</t>
  </si>
  <si>
    <t xml:space="preserve">Une mesure par heure</t>
  </si>
  <si>
    <t xml:space="preserve">Période</t>
  </si>
  <si>
    <t xml:space="preserve">2010 → 24/08/2025, base figée</t>
  </si>
  <si>
    <t xml:space="preserve">2010 → environ 3 jours avant la date du jour, mise à jour quotidienne</t>
  </si>
  <si>
    <t xml:space="preserve">Table propre</t>
  </si>
  <si>
    <t xml:space="preserve">weather_daily</t>
  </si>
  <si>
    <t xml:space="preserve">weather_hourly (et cloud_hourly pour les nuages)</t>
  </si>
  <si>
    <t xml:space="preserve">Rôle dans le projet</t>
  </si>
  <si>
    <t xml:space="preserve">Collecte SQL sur une base existante (C1.1.2) et contrôle croisé</t>
  </si>
  <si>
    <t xml:space="preserve">Météo récente et horaire pour le modèle</t>
  </si>
  <si>
    <t xml:space="preserve">Stations</t>
  </si>
  <si>
    <t xml:space="preserve">TROMSO (010260), KIRUNA (020440), ROVANIEMI RAUTATIEASEMA (028470)</t>
  </si>
  <si>
    <t xml:space="preserve">TROMSO (NOM00001026), aéroport de Kiruna (SWI0000ESNQ), gare de Rovaniemi (FIM00002847)</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</si>
  <si>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</si>
  <si>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</si>
  <si>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</si>
  <si>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</si>
  <si>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</si>
  <si>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</si>
  <si>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</si>
  <si>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</si>
  <si>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</si>
  <si>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</si>
  <si>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</si>
  <si>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</si>
  <si>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</si>
  <si>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</si>
  <si>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</si>
  <si>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</si>
  <si>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</si>
  <si>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</si>
  <si>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</si>
  <si>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</si>
  <si>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</si>
  <si>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</si>
  <si>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</si>
  <si>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</si>
  <si>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</si>
  <si>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</si>
  <si>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</si>
  <si>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</si>
  <si>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</si>
  <si>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</si>
  <si>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</si>
  <si>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</si>
  <si>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</si>
  <si>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</si>
  <si>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</si>
  <si>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</si>
  <si>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</si>
  <si>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</si>
  <si>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</si>
  <si>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</si>
  <si>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</si>
  <si>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</si>
  <si>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</si>
  <si>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</si>
  <si>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</si>
  <si>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</si>
  <si>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</si>
  <si>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</si>
  <si>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</si>
  <si>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</si>
  <si>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</si>
  <si>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</si>
  <si>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</si>
  <si>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</si>
  <si>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</si>
  <si>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</si>
  <si>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</si>
  <si>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</si>
  <si>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</si>
  <si>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</si>
  <si>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</si>
  <si>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</si>
  <si>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</si>
  <si>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</si>
  <si>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</si>
  <si>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</si>
  <si>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</si>
  <si>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</si>
  <si>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</si>
  <si>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</si>
  <si>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</si>
  <si>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</si>
  <si>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</si>
  <si>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</si>
  <si>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</si>
  <si>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</si>
  <si>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</si>
  <si>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</si>
  <si>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</si>
  <si>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</si>
  <si>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</si>
  <si>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</si>
  <si>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</si>
  <si>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</si>
  <si>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</si>
  <si>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</si>
  <si>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</si>
  <si>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</si>
  <si>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</si>
  <si>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</si>
  <si>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</si>
  <si>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</si>
  <si>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</si>
  <si>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</si>
  <si>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</si>
  <si>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</si>
  <si>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</si>
  <si>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</si>
  <si>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</si>
  <si>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</si>
  <si>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</si>
  <si>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</si>
  <si>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</si>
  <si>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</si>
  <si>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</si>
  <si>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</si>
  <si>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</si>
  <si>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</si>
  <si>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</si>
  <si>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</si>
  <si>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</si>
  <si>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</si>
  <si>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</si>
  <si>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</si>
  <si>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</si>
  <si>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</si>
  <si>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</si>
  <si>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</si>
  <si>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</si>
  <si>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</si>
  <si>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Toutes les sources</t>
  </si>
  <si>
    <t xml:space="preserve">GFZ, NOAA SWPC, OMNIWeb, NOAA GHCNh et NOAA GSOD (via BigQuery)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 d'affichage : une prévision présentée comme celle d'AuroraCast, pas de la NOAA.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</si>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</sst>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9"/>
      <color rgb="FF595959"/>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72</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row r="22" customFormat="false" ht="23.25" hidden="false" customHeight="true" outlineLevel="0" collapsed="false">
      <c r="A22" s="5" t="s">
        <v>147</v>
      </c>
      <c r="B22" s="6" t="s">
        <v>106</v>
      </c>
      <c r="C22" s="6" t="s">
        <v>148</v>
      </c>
      <c r="D22" s="7" t="s">
        <v>149</v>
      </c>
      <c r="E22" s="6" t="s">
        <v>150</v>
      </c>
      <c r="F22" s="6" t="s">
        <v>151</v>
      </c>
      <c r="G22" s="6" t="s">
        <v>152</v>
      </c>
      <c r="H22" s="6" t="s">
        <v>153</v>
      </c>
      <c r="I22" s="7" t="s">
        <v>23</v>
      </c>
      <c r="J22" s="7" t="s">
        <v>50</v>
      </c>
      <c r="K22" s="6" t="s">
        <v>154</v>
      </c>
      <c r="L22" s="6" t="s">
        <v>155</v>
      </c>
      <c r="M22" s="7" t="s">
        <v>156</v>
      </c>
    </row>
    <row r="23" customFormat="false" ht="23.25" hidden="false" customHeight="true" outlineLevel="0" collapsed="false">
      <c r="A23" s="5" t="s">
        <v>157</v>
      </c>
      <c r="B23" s="6" t="s">
        <v>106</v>
      </c>
      <c r="C23" s="6" t="s">
        <v>158</v>
      </c>
      <c r="D23" s="7" t="s">
        <v>159</v>
      </c>
      <c r="E23" s="6" t="s">
        <v>150</v>
      </c>
      <c r="F23" s="6" t="s">
        <v>151</v>
      </c>
      <c r="G23" s="6" t="s">
        <v>152</v>
      </c>
      <c r="H23" s="6" t="s">
        <v>153</v>
      </c>
      <c r="I23" s="7" t="s">
        <v>49</v>
      </c>
      <c r="J23" s="7" t="s">
        <v>50</v>
      </c>
      <c r="K23" s="6" t="s">
        <v>160</v>
      </c>
      <c r="L23" s="6" t="s">
        <v>155</v>
      </c>
      <c r="M23" s="7" t="s">
        <v>156</v>
      </c>
    </row>
    <row r="24" customFormat="false" ht="23.25" hidden="false" customHeight="true" outlineLevel="0" collapsed="false">
      <c r="A24" s="5" t="s">
        <v>161</v>
      </c>
      <c r="B24" s="6" t="s">
        <v>106</v>
      </c>
      <c r="C24" s="6" t="s">
        <v>162</v>
      </c>
      <c r="D24" s="7" t="s">
        <v>163</v>
      </c>
      <c r="E24" s="6" t="s">
        <v>150</v>
      </c>
      <c r="F24" s="6" t="s">
        <v>151</v>
      </c>
      <c r="G24" s="6" t="s">
        <v>152</v>
      </c>
      <c r="H24" s="6" t="s">
        <v>153</v>
      </c>
      <c r="I24" s="7" t="s">
        <v>49</v>
      </c>
      <c r="J24" s="7" t="s">
        <v>24</v>
      </c>
      <c r="K24" s="6" t="s">
        <v>164</v>
      </c>
      <c r="L24" s="6" t="s">
        <v>155</v>
      </c>
      <c r="M24" s="7" t="s">
        <v>156</v>
      </c>
    </row>
    <row r="25" customFormat="false" ht="23.25" hidden="false" customHeight="true" outlineLevel="0" collapsed="false">
      <c r="A25" s="5" t="s">
        <v>165</v>
      </c>
      <c r="B25" s="6" t="s">
        <v>106</v>
      </c>
      <c r="C25" s="6" t="s">
        <v>166</v>
      </c>
      <c r="D25" s="7" t="s">
        <v>167</v>
      </c>
      <c r="E25" s="6" t="s">
        <v>150</v>
      </c>
      <c r="F25" s="6" t="s">
        <v>151</v>
      </c>
      <c r="G25" s="6" t="s">
        <v>152</v>
      </c>
      <c r="H25" s="6" t="s">
        <v>153</v>
      </c>
      <c r="I25" s="7" t="s">
        <v>49</v>
      </c>
      <c r="J25" s="7" t="s">
        <v>24</v>
      </c>
      <c r="K25" s="6" t="s">
        <v>168</v>
      </c>
      <c r="L25" s="6" t="s">
        <v>155</v>
      </c>
      <c r="M25" s="7" t="s">
        <v>156</v>
      </c>
    </row>
    <row r="26" customFormat="false" ht="23.25" hidden="false" customHeight="true" outlineLevel="0" collapsed="false">
      <c r="A26" s="5" t="s">
        <v>169</v>
      </c>
      <c r="B26" s="6" t="s">
        <v>106</v>
      </c>
      <c r="C26" s="6" t="s">
        <v>170</v>
      </c>
      <c r="D26" s="7" t="s">
        <v>171</v>
      </c>
      <c r="E26" s="6" t="s">
        <v>150</v>
      </c>
      <c r="F26" s="6" t="s">
        <v>151</v>
      </c>
      <c r="G26" s="6" t="s">
        <v>152</v>
      </c>
      <c r="H26" s="6" t="s">
        <v>153</v>
      </c>
      <c r="I26" s="7" t="s">
        <v>49</v>
      </c>
      <c r="J26" s="7" t="s">
        <v>56</v>
      </c>
      <c r="K26" s="6" t="s">
        <v>172</v>
      </c>
      <c r="L26" s="6" t="s">
        <v>155</v>
      </c>
      <c r="M26" s="7" t="s">
        <v>156</v>
      </c>
    </row>
    <row r="27" customFormat="false" ht="23.25" hidden="false" customHeight="true" outlineLevel="0" collapsed="false">
      <c r="A27" s="5" t="s">
        <v>173</v>
      </c>
      <c r="B27" s="6" t="s">
        <v>106</v>
      </c>
      <c r="C27" s="6" t="s">
        <v>174</v>
      </c>
      <c r="D27" s="7" t="s">
        <v>175</v>
      </c>
      <c r="E27" s="6" t="s">
        <v>120</v>
      </c>
      <c r="F27" s="6" t="s">
        <v>176</v>
      </c>
      <c r="G27" s="6" t="s">
        <v>177</v>
      </c>
      <c r="H27" s="6" t="s">
        <v>178</v>
      </c>
      <c r="I27" s="7" t="s">
        <v>49</v>
      </c>
      <c r="J27" s="7" t="s">
        <v>56</v>
      </c>
      <c r="K27" s="6" t="s">
        <v>179</v>
      </c>
      <c r="L27" s="6" t="s">
        <v>180</v>
      </c>
      <c r="M27" s="7" t="s">
        <v>181</v>
      </c>
    </row>
    <row r="28" customFormat="false" ht="23.25" hidden="false" customHeight="true" outlineLevel="0" collapsed="false">
      <c r="A28" s="5" t="s">
        <v>182</v>
      </c>
      <c r="B28" s="6" t="s">
        <v>106</v>
      </c>
      <c r="C28" s="6" t="s">
        <v>183</v>
      </c>
      <c r="D28" s="7" t="s">
        <v>184</v>
      </c>
      <c r="E28" s="6" t="s">
        <v>109</v>
      </c>
      <c r="F28" s="6" t="s">
        <v>185</v>
      </c>
      <c r="G28" s="6" t="s">
        <v>186</v>
      </c>
      <c r="H28" s="6" t="s">
        <v>187</v>
      </c>
      <c r="I28" s="7" t="s">
        <v>49</v>
      </c>
      <c r="J28" s="7" t="s">
        <v>56</v>
      </c>
      <c r="K28" s="6" t="s">
        <v>188</v>
      </c>
      <c r="L28" s="6" t="s">
        <v>189</v>
      </c>
      <c r="M28" s="7" t="s">
        <v>190</v>
      </c>
    </row>
  </sheetData>
  <conditionalFormatting sqref="J5:J28">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8">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8" type="list">
      <formula1>"À faire,En cours,Terminé"</formula1>
      <formula2>0</formula2>
    </dataValidation>
    <dataValidation allowBlank="false" errorStyle="stop" operator="between" showDropDown="false" showErrorMessage="false" showInputMessage="false" sqref="J5:J28"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191</v>
      </c>
    </row>
    <row r="3" customFormat="false" ht="15" hidden="false" customHeight="true" outlineLevel="0" collapsed="false">
      <c r="A3" s="8" t="s">
        <v>11</v>
      </c>
      <c r="B3" s="8" t="s">
        <v>192</v>
      </c>
    </row>
    <row r="4" customFormat="false" ht="15" hidden="false" customHeight="true" outlineLevel="0" collapsed="false">
      <c r="A4" s="9" t="s">
        <v>24</v>
      </c>
      <c r="B4" s="10" t="n">
        <f aca="false">COUNTIF('Dictionnaire de données'!$J$5:$J$28,A4)</f>
        <v>9</v>
      </c>
    </row>
    <row r="5" customFormat="false" ht="15" hidden="false" customHeight="true" outlineLevel="0" collapsed="false">
      <c r="A5" s="9" t="s">
        <v>50</v>
      </c>
      <c r="B5" s="10" t="n">
        <f aca="false">COUNTIF('Dictionnaire de données'!$J$5:$J$28,A5)</f>
        <v>9</v>
      </c>
    </row>
    <row r="6" customFormat="false" ht="15" hidden="false" customHeight="true" outlineLevel="0" collapsed="false">
      <c r="A6" s="9" t="s">
        <v>56</v>
      </c>
      <c r="B6" s="10" t="n">
        <f aca="false">COUNTIF('Dictionnaire de données'!$J$5:$J$28,A6)</f>
        <v>5</v>
      </c>
    </row>
    <row r="7" customFormat="false" ht="15" hidden="false" customHeight="true" outlineLevel="0" collapsed="false">
      <c r="A7" s="9" t="s">
        <v>88</v>
      </c>
      <c r="B7" s="10" t="n">
        <f aca="false">COUNTIF('Dictionnaire de données'!$J$5:$J$28,A7)</f>
        <v>1</v>
      </c>
    </row>
    <row r="8" customFormat="false" ht="15" hidden="false" customHeight="true" outlineLevel="0" collapsed="false">
      <c r="A8" s="11" t="s">
        <v>193</v>
      </c>
      <c r="B8" s="12" t="n">
        <f aca="false">SUM(B4:B7)</f>
        <v>24</v>
      </c>
    </row>
    <row r="10" customFormat="false" ht="15" hidden="false" customHeight="true" outlineLevel="0" collapsed="false">
      <c r="A10" s="13" t="s">
        <v>194</v>
      </c>
    </row>
    <row r="11" customFormat="false" ht="15" hidden="false" customHeight="true" outlineLevel="0" collapsed="false">
      <c r="A11" s="9" t="s">
        <v>22</v>
      </c>
      <c r="B11" s="10" t="n">
        <f aca="false">COUNTIF('Dictionnaire de données'!$H$5:$H$28,"*"&amp;A11&amp;"*")</f>
        <v>20</v>
      </c>
    </row>
    <row r="12" customFormat="false" ht="15" hidden="false" customHeight="true" outlineLevel="0" collapsed="false">
      <c r="A12" s="9" t="s">
        <v>195</v>
      </c>
      <c r="B12" s="10" t="n">
        <f aca="false">COUNTIF('Dictionnaire de données'!$H$5:$H$28,"*"&amp;A12&amp;"*")</f>
        <v>5</v>
      </c>
    </row>
    <row r="13" customFormat="false" ht="15" hidden="false" customHeight="true" outlineLevel="0" collapsed="false">
      <c r="A13" s="9" t="s">
        <v>98</v>
      </c>
      <c r="B13" s="10" t="n">
        <f aca="false">COUNTIF('Dictionnaire de données'!$H$5:$H$28,"*"&amp;A13&amp;"*")</f>
        <v>2</v>
      </c>
    </row>
    <row r="14" customFormat="false" ht="15" hidden="false" customHeight="true" outlineLevel="0" collapsed="false">
      <c r="A14" s="9" t="s">
        <v>196</v>
      </c>
      <c r="B14" s="10" t="n">
        <f aca="false">COUNTIF('Dictionnaire de données'!$H$5:$H$28,"*"&amp;A14&amp;"*")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197</v>
      </c>
    </row>
    <row r="3" customFormat="false" ht="15" hidden="false" customHeight="true" outlineLevel="0" collapsed="false">
      <c r="A3" s="14" t="s">
        <v>198</v>
      </c>
      <c r="B3" s="14" t="s">
        <v>199</v>
      </c>
    </row>
    <row r="4" customFormat="false" ht="23.25" hidden="false" customHeight="true" outlineLevel="0" collapsed="false">
      <c r="A4" s="15" t="s">
        <v>200</v>
      </c>
      <c r="B4" s="16" t="s">
        <v>201</v>
      </c>
    </row>
    <row r="5" customFormat="false" ht="15" hidden="false" customHeight="true" outlineLevel="0" collapsed="false">
      <c r="A5" s="15" t="s">
        <v>202</v>
      </c>
      <c r="B5" s="16" t="s">
        <v>203</v>
      </c>
    </row>
    <row r="6" customFormat="false" ht="23.25" hidden="false" customHeight="true" outlineLevel="0" collapsed="false">
      <c r="A6" s="15" t="s">
        <v>204</v>
      </c>
      <c r="B6" s="16" t="s">
        <v>205</v>
      </c>
    </row>
    <row r="7" customFormat="false" ht="15" hidden="false" customHeight="true" outlineLevel="0" collapsed="false">
      <c r="A7" s="15" t="s">
        <v>206</v>
      </c>
      <c r="B7" s="16" t="s">
        <v>207</v>
      </c>
    </row>
    <row r="8" customFormat="false" ht="15" hidden="false" customHeight="true" outlineLevel="0" collapsed="false">
      <c r="A8" s="15" t="s">
        <v>208</v>
      </c>
      <c r="B8" s="16" t="s">
        <v>209</v>
      </c>
    </row>
    <row r="9" customFormat="false" ht="23.25" hidden="false" customHeight="true" outlineLevel="0" collapsed="false">
      <c r="A9" s="15" t="s">
        <v>210</v>
      </c>
      <c r="B9" s="16" t="s">
        <v>211</v>
      </c>
    </row>
    <row r="10" customFormat="false" ht="15" hidden="false" customHeight="true" outlineLevel="0" collapsed="false">
      <c r="A10" s="15" t="s">
        <v>137</v>
      </c>
      <c r="B10" s="16" t="s">
        <v>212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60"/>
    <col collapsed="false" customWidth="true" hidden="false" outlineLevel="0" max="4" min="4" style="0" width="46"/>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2" t="s">
        <v>213</v>
      </c>
    </row>
    <row r="2" customFormat="false" ht="15" hidden="false" customHeight="false" outlineLevel="0" collapsed="false">
      <c r="A2" s="17" t="s">
        <v>214</v>
      </c>
    </row>
    <row r="4" customFormat="false" ht="30" hidden="false" customHeight="true" outlineLevel="0" collapsed="false">
      <c r="A4" s="18" t="s">
        <v>215</v>
      </c>
      <c r="B4" s="18" t="s">
        <v>8</v>
      </c>
      <c r="C4" s="18" t="s">
        <v>216</v>
      </c>
      <c r="D4" s="18" t="s">
        <v>217</v>
      </c>
      <c r="E4" s="18" t="s">
        <v>218</v>
      </c>
      <c r="F4" s="18" t="s">
        <v>219</v>
      </c>
    </row>
    <row r="5" customFormat="false" ht="23.85" hidden="false" customHeight="false" outlineLevel="0" collapsed="false">
      <c r="A5" s="16" t="s">
        <v>22</v>
      </c>
      <c r="B5" s="16" t="s">
        <v>220</v>
      </c>
      <c r="C5" s="16" t="s">
        <v>221</v>
      </c>
      <c r="D5" s="16" t="s">
        <v>222</v>
      </c>
      <c r="E5" s="16" t="s">
        <v>223</v>
      </c>
      <c r="F5" s="16" t="s">
        <v>72</v>
      </c>
    </row>
    <row r="6" customFormat="false" ht="23.85" hidden="false" customHeight="false" outlineLevel="0" collapsed="false">
      <c r="A6" s="16" t="s">
        <v>22</v>
      </c>
      <c r="B6" s="16" t="s">
        <v>224</v>
      </c>
      <c r="C6" s="16" t="s">
        <v>225</v>
      </c>
      <c r="D6" s="16" t="s">
        <v>226</v>
      </c>
      <c r="E6" s="16" t="s">
        <v>227</v>
      </c>
      <c r="F6" s="16" t="s">
        <v>228</v>
      </c>
    </row>
    <row r="7" customFormat="false" ht="15" hidden="false" customHeight="false" outlineLevel="0" collapsed="false">
      <c r="A7" s="16" t="s">
        <v>195</v>
      </c>
      <c r="B7" s="16" t="s">
        <v>220</v>
      </c>
      <c r="C7" s="16" t="s">
        <v>229</v>
      </c>
      <c r="D7" s="16" t="s">
        <v>230</v>
      </c>
      <c r="E7" s="16" t="s">
        <v>223</v>
      </c>
      <c r="F7" s="16" t="s">
        <v>72</v>
      </c>
    </row>
    <row r="8" customFormat="false" ht="23.85" hidden="false" customHeight="false" outlineLevel="0" collapsed="false">
      <c r="A8" s="16" t="s">
        <v>231</v>
      </c>
      <c r="B8" s="16" t="s">
        <v>232</v>
      </c>
      <c r="C8" s="16" t="s">
        <v>233</v>
      </c>
      <c r="D8" s="16" t="s">
        <v>234</v>
      </c>
      <c r="E8" s="16" t="s">
        <v>235</v>
      </c>
      <c r="F8" s="16" t="s">
        <v>236</v>
      </c>
    </row>
    <row r="9" customFormat="false" ht="23.85" hidden="false" customHeight="false" outlineLevel="0" collapsed="false">
      <c r="A9" s="16" t="s">
        <v>196</v>
      </c>
      <c r="B9" s="16" t="s">
        <v>237</v>
      </c>
      <c r="C9" s="16" t="s">
        <v>238</v>
      </c>
      <c r="D9" s="16" t="s">
        <v>239</v>
      </c>
      <c r="E9" s="16" t="s">
        <v>240</v>
      </c>
      <c r="F9" s="16" t="s">
        <v>241</v>
      </c>
    </row>
    <row r="10" customFormat="false" ht="15" hidden="false" customHeight="false" outlineLevel="0" collapsed="false">
      <c r="A10" s="16" t="s">
        <v>242</v>
      </c>
      <c r="B10" s="16" t="s">
        <v>243</v>
      </c>
      <c r="C10" s="16" t="s">
        <v>244</v>
      </c>
      <c r="D10" s="16" t="s">
        <v>245</v>
      </c>
      <c r="E10" s="16" t="s">
        <v>246</v>
      </c>
      <c r="F10" s="16" t="s">
        <v>236</v>
      </c>
    </row>
    <row r="12" customFormat="false" ht="15" hidden="false" customHeight="false" outlineLevel="0" collapsed="false">
      <c r="A12" s="19" t="s">
        <v>247</v>
      </c>
    </row>
    <row r="13" customFormat="false" ht="15" hidden="false" customHeight="false" outlineLevel="0" collapsed="false">
      <c r="A13" s="19" t="s">
        <v>215</v>
      </c>
      <c r="B13" s="19" t="s">
        <v>248</v>
      </c>
    </row>
    <row r="14" customFormat="false" ht="15" hidden="false" customHeight="false" outlineLevel="0" collapsed="false">
      <c r="A14" s="20" t="s">
        <v>22</v>
      </c>
      <c r="B14" s="20" t="n">
        <f aca="false">COUNTIF($A$5:$A$10,A14)</f>
        <v>2</v>
      </c>
    </row>
    <row r="15" customFormat="false" ht="15" hidden="false" customHeight="false" outlineLevel="0" collapsed="false">
      <c r="A15" s="20" t="s">
        <v>195</v>
      </c>
      <c r="B15" s="20" t="n">
        <f aca="false">COUNTIF($A$5:$A$10,A15)</f>
        <v>1</v>
      </c>
    </row>
    <row r="16" customFormat="false" ht="15" hidden="false" customHeight="false" outlineLevel="0" collapsed="false">
      <c r="A16" s="20" t="s">
        <v>231</v>
      </c>
      <c r="B16" s="20" t="n">
        <f aca="false">COUNTIF($A$5:$A$10,A16)</f>
        <v>1</v>
      </c>
    </row>
    <row r="17" customFormat="false" ht="15" hidden="false" customHeight="false" outlineLevel="0" collapsed="false">
      <c r="A17" s="20" t="s">
        <v>196</v>
      </c>
      <c r="B17" s="20" t="n">
        <f aca="false">COUNTIF($A$5:$A$10,A17)</f>
        <v>1</v>
      </c>
    </row>
    <row r="18" customFormat="false" ht="15" hidden="false" customHeight="false" outlineLevel="0" collapsed="false">
      <c r="A18" s="20" t="s">
        <v>242</v>
      </c>
      <c r="B18" s="20" t="n">
        <f aca="false">COUNTIF($A$5:$A$10,A18)</f>
        <v>1</v>
      </c>
    </row>
    <row r="19" customFormat="false" ht="15" hidden="false" customHeight="false" outlineLevel="0" collapsed="false">
      <c r="A19" s="19" t="s">
        <v>193</v>
      </c>
      <c r="B19" s="19" t="n">
        <f aca="false">SUM(B14:B18)</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0"/>
    <col collapsed="false" customWidth="true" hidden="false" outlineLevel="0" max="3" min="3" style="0" width="56"/>
  </cols>
  <sheetData>
    <row r="1" customFormat="false" ht="17.35" hidden="false" customHeight="false" outlineLevel="0" collapsed="false">
      <c r="A1" s="2" t="s">
        <v>249</v>
      </c>
    </row>
    <row r="2" customFormat="false" ht="15" hidden="false" customHeight="false" outlineLevel="0" collapsed="false">
      <c r="A2" s="17" t="s">
        <v>250</v>
      </c>
    </row>
    <row r="4" customFormat="false" ht="30" hidden="false" customHeight="true" outlineLevel="0" collapsed="false">
      <c r="B4" s="18" t="s">
        <v>251</v>
      </c>
      <c r="C4" s="18" t="s">
        <v>252</v>
      </c>
    </row>
    <row r="5" customFormat="false" ht="15" hidden="false" customHeight="false" outlineLevel="0" collapsed="false">
      <c r="A5" s="16" t="s">
        <v>215</v>
      </c>
      <c r="B5" s="16" t="s">
        <v>178</v>
      </c>
      <c r="C5" s="16" t="s">
        <v>253</v>
      </c>
    </row>
    <row r="6" customFormat="false" ht="15" hidden="false" customHeight="false" outlineLevel="0" collapsed="false">
      <c r="A6" s="16" t="s">
        <v>199</v>
      </c>
      <c r="B6" s="16" t="s">
        <v>254</v>
      </c>
      <c r="C6" s="16" t="s">
        <v>255</v>
      </c>
    </row>
    <row r="7" customFormat="false" ht="15" hidden="false" customHeight="false" outlineLevel="0" collapsed="false">
      <c r="A7" s="16" t="s">
        <v>256</v>
      </c>
      <c r="B7" s="16" t="s">
        <v>257</v>
      </c>
      <c r="C7" s="16" t="s">
        <v>258</v>
      </c>
    </row>
    <row r="8" customFormat="false" ht="15" hidden="false" customHeight="false" outlineLevel="0" collapsed="false">
      <c r="A8" s="16" t="s">
        <v>259</v>
      </c>
      <c r="B8" s="16" t="s">
        <v>260</v>
      </c>
      <c r="C8" s="16" t="s">
        <v>261</v>
      </c>
    </row>
    <row r="9" customFormat="false" ht="23.85" hidden="false" customHeight="false" outlineLevel="0" collapsed="false">
      <c r="A9" s="16" t="s">
        <v>262</v>
      </c>
      <c r="B9" s="16" t="s">
        <v>263</v>
      </c>
      <c r="C9" s="16" t="s">
        <v>264</v>
      </c>
    </row>
    <row r="10" customFormat="false" ht="23.85" hidden="false" customHeight="false" outlineLevel="0" collapsed="false">
      <c r="A10" s="16" t="s">
        <v>265</v>
      </c>
      <c r="B10" s="16" t="s">
        <v>266</v>
      </c>
      <c r="C10" s="16"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268</v>
      </c>
    </row>
    <row r="2" customFormat="false" ht="15" hidden="false" customHeight="true" outlineLevel="0" collapsed="false">
      <c r="A2" s="3" t="s">
        <v>269</v>
      </c>
    </row>
    <row r="4" customFormat="false" ht="15" hidden="false" customHeight="true" outlineLevel="0" collapsed="false">
      <c r="A4" s="18" t="s">
        <v>270</v>
      </c>
      <c r="B4" s="18" t="s">
        <v>271</v>
      </c>
      <c r="C4" s="18" t="s">
        <v>272</v>
      </c>
      <c r="D4" s="18" t="s">
        <v>273</v>
      </c>
      <c r="E4" s="18" t="s">
        <v>274</v>
      </c>
    </row>
    <row r="5" customFormat="false" ht="94.5" hidden="false" customHeight="true" outlineLevel="0" collapsed="false">
      <c r="A5" s="15" t="s">
        <v>275</v>
      </c>
      <c r="B5" s="16" t="s">
        <v>276</v>
      </c>
      <c r="C5" s="16" t="s">
        <v>277</v>
      </c>
      <c r="D5" s="16" t="s">
        <v>278</v>
      </c>
      <c r="E5" s="16" t="s">
        <v>279</v>
      </c>
    </row>
    <row r="6" customFormat="false" ht="94.5" hidden="false" customHeight="true" outlineLevel="0" collapsed="false">
      <c r="A6" s="15" t="s">
        <v>275</v>
      </c>
      <c r="B6" s="16" t="s">
        <v>276</v>
      </c>
      <c r="C6" s="16" t="s">
        <v>280</v>
      </c>
      <c r="D6" s="16" t="s">
        <v>281</v>
      </c>
      <c r="E6" s="16" t="s">
        <v>282</v>
      </c>
    </row>
    <row r="7" customFormat="false" ht="94.5" hidden="false" customHeight="true" outlineLevel="0" collapsed="false">
      <c r="A7" s="15" t="s">
        <v>275</v>
      </c>
      <c r="B7" s="16" t="s">
        <v>276</v>
      </c>
      <c r="C7" s="16" t="s">
        <v>283</v>
      </c>
      <c r="D7" s="16" t="s">
        <v>284</v>
      </c>
      <c r="E7" s="16" t="s">
        <v>285</v>
      </c>
    </row>
    <row r="8" customFormat="false" ht="94.5" hidden="false" customHeight="true" outlineLevel="0" collapsed="false">
      <c r="A8" s="15" t="s">
        <v>286</v>
      </c>
      <c r="B8" s="16" t="s">
        <v>287</v>
      </c>
      <c r="C8" s="16" t="s">
        <v>288</v>
      </c>
      <c r="D8" s="16" t="s">
        <v>289</v>
      </c>
      <c r="E8" s="16" t="s">
        <v>290</v>
      </c>
    </row>
    <row r="9" customFormat="false" ht="94.5" hidden="false" customHeight="true" outlineLevel="0" collapsed="false">
      <c r="A9" s="15" t="s">
        <v>291</v>
      </c>
      <c r="B9" s="16" t="s">
        <v>87</v>
      </c>
      <c r="C9" s="16" t="s">
        <v>292</v>
      </c>
      <c r="D9" s="16" t="s">
        <v>293</v>
      </c>
      <c r="E9" s="16" t="s">
        <v>294</v>
      </c>
    </row>
    <row r="10" customFormat="false" ht="69.75" hidden="false" customHeight="true" outlineLevel="0" collapsed="false">
      <c r="A10" s="15" t="s">
        <v>295</v>
      </c>
      <c r="B10" s="16" t="s">
        <v>296</v>
      </c>
      <c r="C10" s="16" t="s">
        <v>297</v>
      </c>
      <c r="D10" s="16" t="s">
        <v>298</v>
      </c>
      <c r="E10" s="16" t="s">
        <v>299</v>
      </c>
    </row>
    <row r="11" customFormat="false" ht="69.75" hidden="false" customHeight="true" outlineLevel="0" collapsed="false">
      <c r="A11" s="15" t="s">
        <v>295</v>
      </c>
      <c r="B11" s="16" t="s">
        <v>296</v>
      </c>
      <c r="C11" s="16" t="s">
        <v>300</v>
      </c>
      <c r="D11" s="16" t="s">
        <v>301</v>
      </c>
      <c r="E11" s="16" t="s">
        <v>302</v>
      </c>
    </row>
    <row r="12" customFormat="false" ht="69.75" hidden="false" customHeight="true" outlineLevel="0" collapsed="false">
      <c r="A12" s="15" t="s">
        <v>295</v>
      </c>
      <c r="B12" s="16" t="s">
        <v>296</v>
      </c>
      <c r="C12" s="16" t="s">
        <v>303</v>
      </c>
      <c r="D12" s="16" t="s">
        <v>304</v>
      </c>
      <c r="E12" s="16" t="s">
        <v>305</v>
      </c>
    </row>
    <row r="13" customFormat="false" ht="69.75" hidden="false" customHeight="true" outlineLevel="0" collapsed="false">
      <c r="A13" s="15" t="s">
        <v>295</v>
      </c>
      <c r="B13" s="16" t="s">
        <v>296</v>
      </c>
      <c r="C13" s="16" t="s">
        <v>306</v>
      </c>
      <c r="D13" s="16" t="s">
        <v>307</v>
      </c>
      <c r="E13" s="16" t="s">
        <v>308</v>
      </c>
    </row>
    <row r="14" customFormat="false" ht="69.75" hidden="false" customHeight="true" outlineLevel="0" collapsed="false">
      <c r="A14" s="15" t="s">
        <v>295</v>
      </c>
      <c r="B14" s="16" t="s">
        <v>296</v>
      </c>
      <c r="C14" s="16" t="s">
        <v>309</v>
      </c>
      <c r="D14" s="16" t="s">
        <v>310</v>
      </c>
      <c r="E14" s="16" t="s">
        <v>311</v>
      </c>
    </row>
    <row r="16" customFormat="false" ht="15" hidden="false" customHeight="true" outlineLevel="0" collapsed="false">
      <c r="A16" s="21" t="s">
        <v>312</v>
      </c>
    </row>
    <row r="17" customFormat="false" ht="94.5" hidden="false" customHeight="true" outlineLevel="0" collapsed="false">
      <c r="A17" s="22" t="s">
        <v>313</v>
      </c>
      <c r="B17" s="22"/>
      <c r="C17" s="22"/>
      <c r="D17" s="22"/>
      <c r="E17" s="22"/>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314</v>
      </c>
    </row>
    <row r="2" customFormat="false" ht="15" hidden="false" customHeight="true" outlineLevel="0" collapsed="false">
      <c r="A2" s="17" t="s">
        <v>315</v>
      </c>
    </row>
    <row r="4" customFormat="false" ht="15" hidden="false" customHeight="true" outlineLevel="0" collapsed="false">
      <c r="A4" s="18" t="s">
        <v>8</v>
      </c>
      <c r="B4" s="18" t="s">
        <v>270</v>
      </c>
      <c r="C4" s="18" t="s">
        <v>271</v>
      </c>
      <c r="D4" s="18" t="s">
        <v>273</v>
      </c>
      <c r="E4" s="18" t="s">
        <v>316</v>
      </c>
    </row>
    <row r="5" customFormat="false" ht="34.5" hidden="false" customHeight="true" outlineLevel="0" collapsed="false">
      <c r="A5" s="16" t="s">
        <v>317</v>
      </c>
      <c r="B5" s="16" t="s">
        <v>318</v>
      </c>
      <c r="C5" s="16" t="s">
        <v>319</v>
      </c>
      <c r="D5" s="16" t="s">
        <v>320</v>
      </c>
      <c r="E5" s="16" t="s">
        <v>321</v>
      </c>
    </row>
    <row r="6" customFormat="false" ht="34.5" hidden="false" customHeight="true" outlineLevel="0" collapsed="false">
      <c r="A6" s="16" t="s">
        <v>317</v>
      </c>
      <c r="B6" s="16" t="s">
        <v>322</v>
      </c>
      <c r="C6" s="16" t="s">
        <v>323</v>
      </c>
      <c r="D6" s="16" t="s">
        <v>324</v>
      </c>
      <c r="E6" s="16" t="s">
        <v>325</v>
      </c>
    </row>
    <row r="7" customFormat="false" ht="23.25" hidden="false" customHeight="true" outlineLevel="0" collapsed="false">
      <c r="A7" s="16" t="s">
        <v>317</v>
      </c>
      <c r="B7" s="16" t="s">
        <v>326</v>
      </c>
      <c r="C7" s="16" t="s">
        <v>327</v>
      </c>
      <c r="D7" s="16" t="s">
        <v>328</v>
      </c>
      <c r="E7" s="16" t="s">
        <v>329</v>
      </c>
    </row>
    <row r="8" customFormat="false" ht="45.75" hidden="false" customHeight="true" outlineLevel="0" collapsed="false">
      <c r="A8" s="16" t="s">
        <v>330</v>
      </c>
      <c r="B8" s="16" t="s">
        <v>331</v>
      </c>
      <c r="C8" s="16" t="s">
        <v>332</v>
      </c>
      <c r="D8" s="16" t="s">
        <v>333</v>
      </c>
      <c r="E8" s="16" t="s">
        <v>334</v>
      </c>
    </row>
    <row r="9" customFormat="false" ht="23.25" hidden="false" customHeight="true" outlineLevel="0" collapsed="false">
      <c r="A9" s="16" t="s">
        <v>330</v>
      </c>
      <c r="B9" s="16" t="s">
        <v>335</v>
      </c>
      <c r="C9" s="16" t="s">
        <v>336</v>
      </c>
      <c r="D9" s="16" t="s">
        <v>337</v>
      </c>
      <c r="E9" s="16" t="s">
        <v>338</v>
      </c>
    </row>
    <row r="10" customFormat="false" ht="23.25" hidden="false" customHeight="true" outlineLevel="0" collapsed="false">
      <c r="A10" s="16" t="s">
        <v>330</v>
      </c>
      <c r="B10" s="16" t="s">
        <v>339</v>
      </c>
      <c r="C10" s="16" t="s">
        <v>340</v>
      </c>
      <c r="D10" s="16" t="s">
        <v>341</v>
      </c>
      <c r="E10" s="16" t="s">
        <v>342</v>
      </c>
    </row>
    <row r="11" customFormat="false" ht="45.75" hidden="false" customHeight="true" outlineLevel="0" collapsed="false">
      <c r="A11" s="16" t="s">
        <v>343</v>
      </c>
      <c r="B11" s="16" t="s">
        <v>344</v>
      </c>
      <c r="C11" s="16" t="s">
        <v>345</v>
      </c>
      <c r="D11" s="16" t="s">
        <v>346</v>
      </c>
      <c r="E11" s="16" t="s">
        <v>347</v>
      </c>
    </row>
    <row r="12" customFormat="false" ht="23.25" hidden="false" customHeight="true" outlineLevel="0" collapsed="false">
      <c r="A12" s="16" t="s">
        <v>343</v>
      </c>
      <c r="B12" s="16" t="s">
        <v>348</v>
      </c>
      <c r="C12" s="16" t="s">
        <v>349</v>
      </c>
      <c r="D12" s="16" t="s">
        <v>350</v>
      </c>
      <c r="E12" s="16" t="s">
        <v>351</v>
      </c>
    </row>
    <row r="13" customFormat="false" ht="23.25" hidden="false" customHeight="true" outlineLevel="0" collapsed="false">
      <c r="A13" s="16" t="s">
        <v>343</v>
      </c>
      <c r="B13" s="16" t="s">
        <v>352</v>
      </c>
      <c r="C13" s="16" t="s">
        <v>353</v>
      </c>
      <c r="D13" s="16" t="s">
        <v>354</v>
      </c>
      <c r="E13" s="16" t="s">
        <v>355</v>
      </c>
    </row>
    <row r="14" customFormat="false" ht="34.5" hidden="false" customHeight="true" outlineLevel="0" collapsed="false">
      <c r="A14" s="16" t="s">
        <v>356</v>
      </c>
      <c r="B14" s="16" t="s">
        <v>357</v>
      </c>
      <c r="C14" s="16" t="s">
        <v>358</v>
      </c>
      <c r="D14" s="16" t="s">
        <v>359</v>
      </c>
      <c r="E14" s="16" t="s">
        <v>360</v>
      </c>
    </row>
    <row r="15" customFormat="false" ht="34.5" hidden="false" customHeight="true" outlineLevel="0" collapsed="false">
      <c r="A15" s="16" t="s">
        <v>356</v>
      </c>
      <c r="B15" s="16" t="s">
        <v>361</v>
      </c>
      <c r="C15" s="16" t="s">
        <v>362</v>
      </c>
      <c r="D15" s="16" t="s">
        <v>363</v>
      </c>
      <c r="E15" s="16" t="s">
        <v>364</v>
      </c>
    </row>
    <row r="16" customFormat="false" ht="45.75" hidden="false" customHeight="true" outlineLevel="0" collapsed="false">
      <c r="A16" s="21" t="s">
        <v>365</v>
      </c>
      <c r="B16" s="1" t="s">
        <v>366</v>
      </c>
      <c r="C16" s="1" t="s">
        <v>367</v>
      </c>
      <c r="D16" s="1" t="s">
        <v>368</v>
      </c>
      <c r="E16" s="1" t="s">
        <v>369</v>
      </c>
    </row>
    <row r="17" customFormat="false" ht="15" hidden="false" customHeight="true" outlineLevel="0" collapsed="false">
      <c r="A17" s="1" t="s">
        <v>365</v>
      </c>
      <c r="B17" s="1" t="s">
        <v>370</v>
      </c>
      <c r="C17" s="1" t="s">
        <v>371</v>
      </c>
      <c r="D17" s="1" t="s">
        <v>372</v>
      </c>
      <c r="E17" s="1" t="s">
        <v>373</v>
      </c>
    </row>
    <row r="18" customFormat="false" ht="15" hidden="false" customHeight="true" outlineLevel="0" collapsed="false">
      <c r="A18" s="16" t="s">
        <v>374</v>
      </c>
      <c r="B18" s="16" t="s">
        <v>375</v>
      </c>
      <c r="C18" s="16" t="s">
        <v>376</v>
      </c>
      <c r="D18" s="16" t="s">
        <v>377</v>
      </c>
      <c r="E18" s="16" t="s">
        <v>378</v>
      </c>
    </row>
    <row r="19" customFormat="false" ht="15" hidden="false" customHeight="true" outlineLevel="0" collapsed="false">
      <c r="A19" s="16" t="s">
        <v>379</v>
      </c>
      <c r="B19" s="16" t="s">
        <v>380</v>
      </c>
      <c r="C19" s="16" t="s">
        <v>381</v>
      </c>
      <c r="D19" s="16" t="s">
        <v>382</v>
      </c>
      <c r="E19" s="16" t="s">
        <v>383</v>
      </c>
    </row>
    <row r="20" customFormat="false" ht="15" hidden="false" customHeight="true" outlineLevel="0" collapsed="false">
      <c r="A20" s="16" t="s">
        <v>379</v>
      </c>
      <c r="B20" s="16" t="s">
        <v>384</v>
      </c>
      <c r="C20" s="16" t="s">
        <v>385</v>
      </c>
      <c r="D20" s="16" t="s">
        <v>386</v>
      </c>
      <c r="E20" s="16" t="s">
        <v>387</v>
      </c>
    </row>
    <row r="21" customFormat="false" ht="15" hidden="false" customHeight="true" outlineLevel="0" collapsed="false">
      <c r="A21" s="16" t="s">
        <v>388</v>
      </c>
    </row>
    <row r="22" customFormat="false" ht="75" hidden="false" customHeight="true" outlineLevel="0" collapsed="false"/>
    <row r="23" customFormat="false" ht="15" hidden="false" customHeight="true" outlineLevel="0" collapsed="false">
      <c r="A23" s="21" t="s">
        <v>312</v>
      </c>
    </row>
    <row r="24" customFormat="false" ht="90" hidden="false" customHeight="true" outlineLevel="0" collapsed="false">
      <c r="A24" s="22" t="s">
        <v>389</v>
      </c>
      <c r="B24" s="22"/>
      <c r="C24" s="22"/>
      <c r="D24" s="22"/>
      <c r="E24" s="22"/>
    </row>
  </sheetData>
  <mergeCells count="1">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390</v>
      </c>
    </row>
    <row r="2" customFormat="false" ht="15" hidden="false" customHeight="true" outlineLevel="0" collapsed="false">
      <c r="A2" s="17" t="s">
        <v>391</v>
      </c>
    </row>
    <row r="4" customFormat="false" ht="30" hidden="false" customHeight="true" outlineLevel="0" collapsed="false">
      <c r="A4" s="18" t="s">
        <v>392</v>
      </c>
      <c r="B4" s="18" t="s">
        <v>393</v>
      </c>
      <c r="C4" s="18" t="s">
        <v>394</v>
      </c>
      <c r="D4" s="18" t="s">
        <v>395</v>
      </c>
      <c r="E4" s="18" t="s">
        <v>396</v>
      </c>
      <c r="F4" s="18" t="s">
        <v>397</v>
      </c>
      <c r="G4" s="18" t="s">
        <v>398</v>
      </c>
      <c r="H4" s="18" t="s">
        <v>399</v>
      </c>
      <c r="I4" s="18" t="s">
        <v>400</v>
      </c>
      <c r="J4" s="18" t="s">
        <v>14</v>
      </c>
      <c r="K4" s="18" t="s">
        <v>401</v>
      </c>
      <c r="L4" s="18" t="s">
        <v>402</v>
      </c>
    </row>
    <row r="5" customFormat="false" ht="90" hidden="false" customHeight="true" outlineLevel="0" collapsed="false">
      <c r="A5" s="16" t="s">
        <v>403</v>
      </c>
      <c r="B5" s="23" t="n">
        <v>46322</v>
      </c>
      <c r="C5" s="16" t="s">
        <v>404</v>
      </c>
      <c r="D5" s="16" t="s">
        <v>405</v>
      </c>
      <c r="E5" s="16" t="s">
        <v>406</v>
      </c>
      <c r="F5" s="16" t="s">
        <v>407</v>
      </c>
      <c r="G5" s="16" t="s">
        <v>408</v>
      </c>
      <c r="H5" s="16" t="s">
        <v>409</v>
      </c>
      <c r="I5" s="23" t="n">
        <v>46322</v>
      </c>
      <c r="J5" s="16" t="s">
        <v>410</v>
      </c>
      <c r="K5" s="16" t="s">
        <v>411</v>
      </c>
      <c r="L5" s="16" t="s">
        <v>412</v>
      </c>
    </row>
    <row r="6" customFormat="false" ht="79.5" hidden="false" customHeight="true" outlineLevel="0" collapsed="false">
      <c r="A6" s="16" t="s">
        <v>413</v>
      </c>
      <c r="B6" s="23" t="n">
        <v>46322</v>
      </c>
      <c r="C6" s="16" t="s">
        <v>414</v>
      </c>
      <c r="D6" s="16" t="s">
        <v>415</v>
      </c>
      <c r="E6" s="16" t="s">
        <v>416</v>
      </c>
      <c r="F6" s="16" t="s">
        <v>417</v>
      </c>
      <c r="G6" s="16" t="s">
        <v>418</v>
      </c>
      <c r="H6" s="16" t="s">
        <v>419</v>
      </c>
      <c r="I6" s="23" t="n">
        <v>46324</v>
      </c>
      <c r="J6" s="16" t="s">
        <v>410</v>
      </c>
      <c r="K6" s="16" t="s">
        <v>420</v>
      </c>
      <c r="L6" s="16" t="s">
        <v>421</v>
      </c>
    </row>
    <row r="7" customFormat="false" ht="79.5" hidden="false" customHeight="true" outlineLevel="0" collapsed="false">
      <c r="A7" s="16" t="s">
        <v>422</v>
      </c>
      <c r="B7" s="23" t="n">
        <v>46321</v>
      </c>
      <c r="C7" s="16" t="s">
        <v>423</v>
      </c>
      <c r="D7" s="16" t="s">
        <v>424</v>
      </c>
      <c r="E7" s="16" t="s">
        <v>425</v>
      </c>
      <c r="F7" s="16" t="s">
        <v>426</v>
      </c>
      <c r="G7" s="16" t="s">
        <v>427</v>
      </c>
      <c r="H7" s="16" t="s">
        <v>428</v>
      </c>
      <c r="I7" s="23"/>
      <c r="J7" s="16" t="s">
        <v>429</v>
      </c>
      <c r="K7" s="16" t="s">
        <v>430</v>
      </c>
      <c r="L7" s="16" t="s">
        <v>431</v>
      </c>
    </row>
    <row r="8" customFormat="false" ht="79.5" hidden="false" customHeight="true" outlineLevel="0" collapsed="false">
      <c r="A8" s="16" t="s">
        <v>432</v>
      </c>
      <c r="B8" s="23" t="n">
        <v>46321</v>
      </c>
      <c r="C8" s="16" t="s">
        <v>433</v>
      </c>
      <c r="D8" s="16" t="s">
        <v>434</v>
      </c>
      <c r="E8" s="16" t="s">
        <v>435</v>
      </c>
      <c r="F8" s="16" t="s">
        <v>436</v>
      </c>
      <c r="G8" s="16" t="s">
        <v>437</v>
      </c>
      <c r="H8" s="16" t="s">
        <v>438</v>
      </c>
      <c r="I8" s="23" t="n">
        <v>46321</v>
      </c>
      <c r="J8" s="16" t="s">
        <v>410</v>
      </c>
      <c r="K8" s="16" t="s">
        <v>439</v>
      </c>
      <c r="L8" s="16" t="s">
        <v>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2026-10-29T09:10:48Z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