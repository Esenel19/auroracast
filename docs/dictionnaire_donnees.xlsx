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Techniques de collecte" sheetId="4" state="visible" r:id="rId6"/>
    <sheet name="GSOD et GHCNh" sheetId="5" state="visible" r:id="rId7"/>
    <sheet name="Entrepôt" sheetId="6" state="visible" r:id="rId8"/>
    <sheet name="Vérification CGU" sheetId="7" state="visible" r:id="rId9"/>
    <sheet name="Vérification CGU sources" sheetId="8" state="visible" r:id="rId10"/>
    <sheet name="Journal des incident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<sst xmlns="http://schemas.openxmlformats.org/spreadsheetml/2006/main" count="797" uniqueCount="555">
  <si>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</si>
  <si>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</si>
  <si>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</si>
  <si>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</si>
  <si>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</si>
  <si>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</si>
  <si>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</si>
  <si>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</si>
  <si>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</si>
  <si>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</si>
  <si>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</si>
  <si>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</si>
  <si>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</si>
  <si>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</si>
  <si>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</si>
  <si>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</si>
  <si>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</si>
  <si>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</si>
  <si>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</si>
  <si>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</si>
  <si>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</si>
  <si>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</si>
  <si>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</si>
  <si>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</si>
  <si>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</si>
  <si>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</si>
  <si>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</si>
  <si>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</si>
  <si>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</si>
  <si>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</si>
  <si>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</si>
  <si>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</si>
  <si>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</si>
  <si>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</si>
  <si>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</si>
  <si>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</si>
  <si>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</si>
  <si>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</si>
  <si>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</si>
  <si>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</si>
  <si>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</si>
  <si>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</si>
  <si>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</si>
  <si>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</si>
  <si>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</si>
  <si>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</si>
  <si>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</si>
  <si>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</si>
  <si>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</si>
  <si>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</si>
  <si>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</si>
  <si>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</si>
  <si>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</si>
  <si>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</si>
  <si>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</si>
  <si>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</si>
  <si>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</si>
  <si>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</si>
  <si>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</si>
  <si>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</si>
  <si>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</si>
  <si>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</si>
  <si>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</si>
  <si>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</si>
  <si>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</si>
  <si>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</si>
  <si>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</si>
  <si>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</si>
  <si>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</si>
  <si>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</si>
  <si>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</si>
  <si>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</si>
  <si>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</si>
  <si>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</si>
  <si>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</si>
  <si>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</si>
  <si>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</si>
  <si>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</si>
  <si>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</si>
  <si>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</si>
  <si>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</si>
  <si>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</si>
  <si>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</si>
  <si>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</si>
  <si>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</si>
  <si>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</si>
  <si>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</si>
  <si>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</si>
  <si>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</si>
  <si>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</si>
  <si>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</si>
  <si>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</si>
  <si>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</si>
  <si>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Hauteur de la Lune au-dessus de l'horizon et part du disque éclairé ; une Lune haute et pleine efface les aurores faibles</t>
  </si>
  <si>
    <t xml:space="preserve">degrés / % (0 à 100)</t>
  </si>
  <si>
    <t xml:space="preserve">Horaire (calcul)</t>
  </si>
  <si>
    <t xml:space="preserve">Recalculée à chaque transformation (2010 → J+10)</t>
  </si>
  <si>
    <t xml:space="preserve">PyEphem 4.2 (licence MIT, éphémérides intégrées, aucun téléchargement)</t>
  </si>
  <si>
    <t xml:space="preserve">Calcul local</t>
  </si>
  <si>
    <t xml:space="preserve">N'influence pas l'aurore mais la visibilité</t>
  </si>
  <si>
    <t xml:space="preserve">Sans objet (calcul) ; PyEphem sous licence MIT</t>
  </si>
  <si>
    <t xml:space="preserve">Calculé (astronomy_hourly : moon_alt_deg, moon_illum_pct, moon_up)</t>
  </si>
  <si>
    <t xml:space="preserve">Nuit noire et hauteur du Soleil</t>
  </si>
  <si>
    <t xml:space="preserve">Hauteur géométrique du Soleil et phase de la nuit : jour, crépuscule civil (jusqu'à -6°), nautique (-12°), astronomique (-18°), nuit ; nuit polaire et soleil de minuit</t>
  </si>
  <si>
    <t xml:space="preserve">degrés / catégorie</t>
  </si>
  <si>
    <t xml:space="preserve">PyEphem 4.2 (licence MIT) ; vérifié contre sunrise-sunset.org (Tromsø, 29/10/2026 : écart &lt; 5 s)</t>
  </si>
  <si>
    <t xml:space="preserve">Condition de visibilité de l'aurore</t>
  </si>
  <si>
    <t xml:space="preserve">Calculé (astronomy_hourly : sun_alt_deg, night_phase, polar_night, midnight_sun)</t>
  </si>
  <si>
    <t xml:space="preserve">Nébulosité</t>
  </si>
  <si>
    <t xml:space="preserve">Météo</t>
  </si>
  <si>
    <t xml:space="preserve">Part du ciel couverte par les nuages</t>
  </si>
  <si>
    <t xml:space="preserve">%</t>
  </si>
  <si>
    <t xml:space="preserve">Horaire</t>
  </si>
  <si>
    <t xml:space="preserve">Observé : chaque jour (GHCNh) ; prévu : toutes les 3 h (MET Norway)</t>
  </si>
  <si>
    <t xml:space="preserve">Observé : NOAA GHCNh (stations TROMSO, aéroport de Kiruna, gare de Rovaniemi) ; prévu : MET Norway Locationforecast 2.0 (nébulosité totale et par étage) ; Open-Meteo écarté (robots.txt, INC-002)</t>
  </si>
  <si>
    <t xml:space="preserve">API (fichiers GHCNh + API MET Norway)</t>
  </si>
  <si>
    <t xml:space="preserve">Un ciel couvert empêche de voir l'aurore</t>
  </si>
  <si>
    <t xml:space="preserve">NOAA GHCNh : CC0 (DOI 10.25921/jp3d-3v19) ; MET Norway : CC BY 4.0 (citer MET Norway)</t>
  </si>
  <si>
    <t xml:space="preserve">Observé collecté et nettoyé (cloud_hourly, 2010 → J-3) ; prévu collecté toutes les 3 h (weather_forecast)</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</si>
  <si>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</si>
  <si>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</si>
  <si>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</si>
  <si>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</si>
  <si>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</si>
  <si>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</si>
  <si>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</si>
  <si>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</si>
  <si>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</si>
  <si>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</si>
  <si>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</si>
  <si>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</si>
  <si>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</si>
  <si>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</si>
  <si>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</si>
  <si>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</si>
  <si>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</si>
  <si>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</si>
  <si>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</si>
  <si>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</si>
  <si>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</si>
  <si>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</si>
  <si>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</si>
  <si>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</si>
  <si>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</si>
  <si>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</si>
  <si>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</si>
  <si>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</si>
  <si>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</si>
  <si>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</si>
  <si>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</si>
  <si>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</si>
  <si>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</si>
  <si>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</si>
  <si>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Horaire (GHCNh) ; journalière (GSOD)</t>
  </si>
  <si>
    <t xml:space="preserve">GSOD : une fois (base figée) ; GHCNh : chaque jour, lignes nouvelles seulement</t>
  </si>
  <si>
    <t xml:space="preserve">NOAA NCEI GSOD par SQL (BigQuery bigquery-public-data.noaa_gsod, 2010 → 24/08/2025) ; NOAA GHCNh horaire, mêmes stations (TROMSO, aéroport de Kiruna, gare de Rovaniemi), 2010 → hier</t>
  </si>
  <si>
    <t xml:space="preserve">Requêtes SQL (BigQuery) + API (fichiers GHCNh)</t>
  </si>
  <si>
    <t xml:space="preserve">Contexte saisonnier ; froid sec souvent associé à un ciel dégagé</t>
  </si>
  <si>
    <t xml:space="preserve">NOAA NCEI GSOD : données publiques, sans garantie (citer NCEI) ; NOAA GHCNh : CC0 (DOI 10.25921/jp3d-3v19) ; requêtes BigQuery gratuites jusqu'à 1 To par mois</t>
  </si>
  <si>
    <t xml:space="preserve">Collecté et nettoyé : GSOD (weather_daily) et GHCNh (weather_hourly, mis à jour chaque jour) ; contrôle croisé de la température : écart moyen 0,03 à 0,09 °C ; prévisions collectées (MET Norway, weather_forecast)</t>
  </si>
  <si>
    <t xml:space="preserve">Point de rosée et humidité relative</t>
  </si>
  <si>
    <t xml:space="preserve">Point de rosée mesuré ; humidité relative calculée (formule de Magnus, à partir des moyennes du jour)</t>
  </si>
  <si>
    <t xml:space="preserve">°C / %</t>
  </si>
  <si>
    <t xml:space="preserve">Risque de brouillard et de givre</t>
  </si>
  <si>
    <t xml:space="preserve">Visibilité</t>
  </si>
  <si>
    <t xml:space="preserve">Visibilité horizontale, en km ; GSOD : moyenne du jour convertie des miles ; GHCNh : par heure. Messages METAR (aéroport de Kiruna) plafonnés à 10 km (« 10 km ou plus », colonne visibility_capped)</t>
  </si>
  <si>
    <t xml:space="preserve">km</t>
  </si>
  <si>
    <t xml:space="preserve">Brume et brouillard masquent le ciel comme les nuages</t>
  </si>
  <si>
    <t xml:space="preserve">Brouillard (jour signalé)</t>
  </si>
  <si>
    <t xml:space="preserve">Brouillard signalé : GSOD = au moins une fois dans la journée ; GHCNh = par heure, d'après le temps présent WMO (abréviation FG, code manuel 40-49, automatique 30-35) ; brume (BR, code 10) en colonne séparée</t>
  </si>
  <si>
    <t xml:space="preserve">Booléen</t>
  </si>
  <si>
    <t xml:space="preserve">Ciel bouché en pleine saison des aurores (4 à 6 jours par mois en octobre-novembre à Kiruna et Rovaniemi)</t>
  </si>
  <si>
    <t xml:space="preserve">Vent (moyen et maximum)</t>
  </si>
  <si>
    <t xml:space="preserve">Vitesse (et direction pour GHCNh) du vent, en m/s ; direction 999 = vent calme ou variable</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</si>
  <si>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</si>
  <si>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</si>
  <si>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</si>
  <si>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</si>
  <si>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</si>
  <si>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Historique : une fois</t>
  </si>
  <si>
    <t xml:space="preserve">NOAA NCEI GSOD, base publique BigQuery bigquery-public-data.noaa_gsod (stations TROMSO, KIRUNA, ROVANIEMI RAUTATIEASEMA)</t>
  </si>
  <si>
    <t xml:space="preserve">Requêtes SQL (BigQuery)</t>
  </si>
  <si>
    <t xml:space="preserve">Exploitable seulement à Tromsø (92 % des jours) ; inutilisable à Kiruna et Rovaniemi (0 %)</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</si>
  <si>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</si>
  <si>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collectées (MET Norway, weather_forecast)</t>
  </si>
  <si>
    <t xml:space="preserve">Pression au niveau de la mer</t>
  </si>
  <si>
    <t xml:space="preserve">Pression atmosphérique ramenée au niveau de la mer</t>
  </si>
  <si>
    <t xml:space="preserve">hPa</t>
  </si>
  <si>
    <t xml:space="preserve">Chaque jour, lignes nouvelles seulement</t>
  </si>
  <si>
    <t xml:space="preserve">NOAA GHCNh horaire (TROMSO, aéroport de Kiruna, gare de Rovaniemi), 2010 → hier</t>
  </si>
  <si>
    <t xml:space="preserve">API (fichiers GHCNh)</t>
  </si>
  <si>
    <t xml:space="preserve">Une pression qui monte annonce souvent un ciel qui se dégage ; à tester en sélection de variables</t>
  </si>
  <si>
    <t xml:space="preserve">NOAA GHCNh : CC0 (DOI 10.25921/jp3d-3v19)</t>
  </si>
  <si>
    <t xml:space="preserve">Collecté et nettoyé (weather_hourly, 2010 → hier) ; prévisions collectées (MET Norway, weather_forecast)</t>
  </si>
  <si>
    <t xml:space="preserve">Prévision de brouillard</t>
  </si>
  <si>
    <t xml:space="preserve">Part de la zone autour du lieu couverte de brouillard (visibilité sous 1 km) ; seul indicateur de visibilité prévu par l'API</t>
  </si>
  <si>
    <t xml:space="preserve">Horaire, environ 60 h</t>
  </si>
  <si>
    <t xml:space="preserve">Toutes les 3 h (dans le respect de l'en-tête Expires)</t>
  </si>
  <si>
    <t xml:space="preserve">MET Norway Locationforecast 2.0 (complete), fog_area_fraction</t>
  </si>
  <si>
    <t xml:space="preserve">Court terme (0 à 60 h)</t>
  </si>
  <si>
    <t xml:space="preserve">Le brouillard masque le ciel comme les nuages ; complète la nébulosité prévue</t>
  </si>
  <si>
    <t xml:space="preserve">MET Norway : CC BY 4.0 (citer MET Norway, lien vers la licence)</t>
  </si>
  <si>
    <t xml:space="preserve">Collecté toutes les 3 h (weather_forecast)</t>
  </si>
  <si>
    <t xml:space="preserve">Prévision de nébulosité par étage</t>
  </si>
  <si>
    <t xml:space="preserve">Nuages bas (&lt; 2 000 m), moyens (2 000 à 5 000 m) et hauts (&gt; 5 000 m), en plus de la nébulosité totale</t>
  </si>
  <si>
    <t xml:space="preserve">MET Norway Locationforecast 2.0 (complete), cloud_area_fraction_low/medium/high</t>
  </si>
  <si>
    <t xml:space="preserve">Un voile de nuages hauts laisse parfois voir une aurore intense, pas des nuages bas</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</si>
  <si>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</si>
  <si>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</si>
  <si>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</si>
  <si>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</si>
  <si>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</si>
  <si>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</si>
  <si>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</si>
  <si>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</si>
  <si>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</si>
  <si>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</si>
  <si>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</si>
  <si>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</si>
  <si>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</si>
  <si>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</si>
  <si>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</si>
  <si>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</si>
  <si>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</si>
  <si>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</si>
  <si>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</si>
  <si>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</si>
  <si>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</si>
  <si>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</si>
  <si>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Entrepôt</t>
  </si>
  <si>
    <t xml:space="preserve">Toutes les tables propres sont chargées chaque jour dans PostgreSQL (onglet « Entrepôt ») : Neon dans le cloud, Docker en local.</t>
  </si>
  <si>
    <t xml:space="preserve">AuroraCast – Techniques de collecte (C1.1.2)</t>
  </si>
  <si>
    <t xml:space="preserve">Mis à jour le 29/10/2026. GHCNh : accès HTTP aux fichiers du service NOAA Open Data (classé « API » dans les manifestes).</t>
  </si>
  <si>
    <t xml:space="preserve">Technique</t>
  </si>
  <si>
    <t xml:space="preserve">Données collectées</t>
  </si>
  <si>
    <t xml:space="preserve">Accès</t>
  </si>
  <si>
    <t xml:space="preserve">Code</t>
  </si>
  <si>
    <t xml:space="preserve">Fréquence</t>
  </si>
  <si>
    <t xml:space="preserve">NOAA SWPC</t>
  </si>
  <si>
    <t xml:space="preserve">Kp observé et prévu, Kp minute, vent solaire temps réel (Bz, vitesse, densité), échelles NOAA, alertes</t>
  </si>
  <si>
    <t xml:space="preserve">services.swpc.noaa.gov (JSON)</t>
  </si>
  <si>
    <t xml:space="preserve">src/auroracast/collect/noaa.py</t>
  </si>
  <si>
    <t xml:space="preserve">NOAA GHCNh</t>
  </si>
  <si>
    <t xml:space="preserve">Observations horaires des 3 stations : nuages, température, humidité, pression, vent, visibilité, temps présent</t>
  </si>
  <si>
    <t xml:space="preserve">noaa-ghcnh-pds.s3.amazonaws.com (fichiers annuels par station)</t>
  </si>
  <si>
    <t xml:space="preserve">src/auroracast/collect/ghcnh.py</t>
  </si>
  <si>
    <t xml:space="preserve">Chaque jour (lignes nouvelles)</t>
  </si>
  <si>
    <t xml:space="preserve">MET Norway</t>
  </si>
  <si>
    <t xml:space="preserve">Prévisions locales : nébulosité totale et par étage, brouillard, température, humidité, vent, pluie (horaire sur environ 50 h, puis 6 h jusqu'à 10 jours)</t>
  </si>
  <si>
    <t xml:space="preserve">api.met.no/weatherapi/locationforecast/2.0/complete (JSON)</t>
  </si>
  <si>
    <t xml:space="preserve">src/auroracast/collect/metno.py</t>
  </si>
  <si>
    <t xml:space="preserve">Toutes les 3 h (Expires respecté)</t>
  </si>
  <si>
    <t xml:space="preserve">Prévision à 3 jours rédigée, indices géomagnétiques du jour</t>
  </si>
  <si>
    <t xml:space="preserve">services.swpc.noaa.gov/text/ (fichiers texte)</t>
  </si>
  <si>
    <t xml:space="preserve">Crawling</t>
  </si>
  <si>
    <t xml:space="preserve">OMNIWeb (NASA SPDF)</t>
  </si>
  <si>
    <t xml:space="preserve">Vent solaire et champ magnétique interplanétaire horaires depuis 2010</t>
  </si>
  <si>
    <t xml:space="preserve">spdf.gsfc.nasa.gov/pub/data/omni/low_res_omni/ (parcours de l'index)</t>
  </si>
  <si>
    <t xml:space="preserve">src/auroracast/collect/omni.py</t>
  </si>
  <si>
    <t xml:space="preserve">Backfill à la demande</t>
  </si>
  <si>
    <t xml:space="preserve">NOAA GSOD</t>
  </si>
  <si>
    <t xml:space="preserve">Météo quotidienne 2010 → 24/08/2025 : température, rosée, visibilité, brouillard, vent, précipitations</t>
  </si>
  <si>
    <t xml:space="preserve">BigQuery bigquery-public-data.noaa_gsod</t>
  </si>
  <si>
    <t xml:space="preserve">src/auroracast/collect/gsod.py</t>
  </si>
  <si>
    <t xml:space="preserve">Backfill à la demande (base figée)</t>
  </si>
  <si>
    <t xml:space="preserve">Fichier</t>
  </si>
  <si>
    <t xml:space="preserve">GFZ Potsdam</t>
  </si>
  <si>
    <t xml:space="preserve">Kp, ap, Ap, taches solaires et flux F10.7 depuis 1932</t>
  </si>
  <si>
    <t xml:space="preserve">kp.gfz.de (Kp_ap_Ap_SN_F107_since_1932.txt)</t>
  </si>
  <si>
    <t xml:space="preserve">src/auroracast/collect/gfz.py</t>
  </si>
  <si>
    <t xml:space="preserve">Hors collecte : la table astronomique (Soleil, Lune, nuit polaire) est calculée localement avec PyEphem, sans source externe (src/auroracast/transform/astronomy.py).</t>
  </si>
  <si>
    <t xml:space="preserve">Synthèse</t>
  </si>
  <si>
    <t xml:space="preserve">Nombre de sources</t>
  </si>
  <si>
    <t xml:space="preserve">Météo au sol : deux sources pour les mêmes stations</t>
  </si>
  <si>
    <t xml:space="preserve">Contrôle croisé de la température moyenne du jour : écart moyen de 0,03 à 0,09 °C selon le lieu (rapport de qualité du 29/10/2026).</t>
  </si>
  <si>
    <t xml:space="preserve">GSOD</t>
  </si>
  <si>
    <t xml:space="preserve">GHCNh</t>
  </si>
  <si>
    <t xml:space="preserve">Accès HTTP aux fichiers (classé API)</t>
  </si>
  <si>
    <t xml:space="preserve">Une mesure par jour</t>
  </si>
  <si>
    <t xml:space="preserve">Une mesure par heure</t>
  </si>
  <si>
    <t xml:space="preserve">Période</t>
  </si>
  <si>
    <t xml:space="preserve">2010 → 24/08/2025, base figée</t>
  </si>
  <si>
    <t xml:space="preserve">2010 → environ 3 jours avant la date du jour, mise à jour quotidienne</t>
  </si>
  <si>
    <t xml:space="preserve">Table propre</t>
  </si>
  <si>
    <t xml:space="preserve">weather_daily</t>
  </si>
  <si>
    <t xml:space="preserve">weather_hourly (et cloud_hourly pour les nuages)</t>
  </si>
  <si>
    <t xml:space="preserve">Rôle dans le projet</t>
  </si>
  <si>
    <t xml:space="preserve">Collecte SQL sur une base existante (C1.1.2) et contrôle croisé</t>
  </si>
  <si>
    <t xml:space="preserve">Météo récente et horaire pour le modèle</t>
  </si>
  <si>
    <t xml:space="preserve">Stations</t>
  </si>
  <si>
    <t xml:space="preserve">TROMSO (010260), KIRUNA (020440), ROVANIEMI RAUTATIEASEMA (028470)</t>
  </si>
  <si>
    <t xml:space="preserve">TROMSO (NOM00001026), aéroport de Kiruna (SWI0000ESNQ), gare de Rovaniemi (FIM00002847)</t>
  </si>
  <si>
    <t xml:space="preserve">Entrepôt PostgreSQL : modèle en étoile (sql/schema.sql)</t>
  </si>
  <si>
    <t xml:space="preserve">Généré depuis la base le 29/10/2026 (information_schema). Hébergement : Neon (AWS US East 2), et Docker en local. Rechargement complet chaque jour, en une transaction. Lignes au chargement du 29/10/2026 (environ 213 Mo).</t>
  </si>
  <si>
    <t xml:space="preserve">Table</t>
  </si>
  <si>
    <t xml:space="preserve">Type</t>
  </si>
  <si>
    <t xml:space="preserve">Grain</t>
  </si>
  <si>
    <t xml:space="preserve">Clé primaire</t>
  </si>
  <si>
    <t xml:space="preserve">Clés étrangères</t>
  </si>
  <si>
    <t xml:space="preserve">Contraintes</t>
  </si>
  <si>
    <t xml:space="preserve">Colonnes</t>
  </si>
  <si>
    <t xml:space="preserve">Table propre d'origine</t>
  </si>
  <si>
    <t xml:space="preserve">Lignes</t>
  </si>
  <si>
    <t xml:space="preserve">dim_location</t>
  </si>
  <si>
    <t xml:space="preserve">Dimension</t>
  </si>
  <si>
    <t xml:space="preserve">un lieu</t>
  </si>
  <si>
    <t xml:space="preserve">location_id</t>
  </si>
  <si>
    <t xml:space="preserve">UNIQUE (code)</t>
  </si>
  <si>
    <t xml:space="preserve">location_id, code, name, lat, lon, station_id, station_name, station_distance_km</t>
  </si>
  <si>
    <t xml:space="preserve">locations (+ data/stations.json)</t>
  </si>
  <si>
    <t xml:space="preserve">dim_time</t>
  </si>
  <si>
    <t xml:space="preserve">une heure UTC, 1932 → J+10</t>
  </si>
  <si>
    <t xml:space="preserve">time_utc</t>
  </si>
  <si>
    <t xml:space="preserve">time_utc, date_utc, year, month, day, hour, day_of_year, iso_week, aurora_season</t>
  </si>
  <si>
    <t xml:space="preserve">calculée au chargement</t>
  </si>
  <si>
    <t xml:space="preserve">dim_source</t>
  </si>
  <si>
    <t xml:space="preserve">une source</t>
  </si>
  <si>
    <t xml:space="preserve">source_id</t>
  </si>
  <si>
    <t xml:space="preserve">source_id, code, name, technique, licence, url</t>
  </si>
  <si>
    <t xml:space="preserve">liste fixe dans warehouse/load.py</t>
  </si>
  <si>
    <t xml:space="preserve">fact_kp</t>
  </si>
  <si>
    <t xml:space="preserve">Fait global</t>
  </si>
  <si>
    <t xml:space="preserve">3 h</t>
  </si>
  <si>
    <t xml:space="preserve">time_utc → dim_time
source_id → dim_source</t>
  </si>
  <si>
    <t xml:space="preserve">CHECK (kp &gt;= (0)) AND (kp &lt;= (9))</t>
  </si>
  <si>
    <t xml:space="preserve">time_utc, kp, ap, status, source_id</t>
  </si>
  <si>
    <t xml:space="preserve">kp_3h</t>
  </si>
  <si>
    <t xml:space="preserve">fact_kp_forecast</t>
  </si>
  <si>
    <t xml:space="preserve">émission × tranche de 3 h visée</t>
  </si>
  <si>
    <t xml:space="preserve">issued_at, target_time</t>
  </si>
  <si>
    <t xml:space="preserve">target_time → dim_time
source_id → dim_source</t>
  </si>
  <si>
    <t xml:space="preserve">issued_at, target_time, kp, noaa_scale, lead_hours, source_id</t>
  </si>
  <si>
    <t xml:space="preserve">kp_forecast</t>
  </si>
  <si>
    <t xml:space="preserve">fact_solar_daily</t>
  </si>
  <si>
    <t xml:space="preserve">jour (00:00 UTC)</t>
  </si>
  <si>
    <t xml:space="preserve">time_utc, ap_daily, sunspot_number, f107_obs, f107_adj, sunspot_status, source_id</t>
  </si>
  <si>
    <t xml:space="preserve">solar_daily</t>
  </si>
  <si>
    <t xml:space="preserve">fact_solar_wind</t>
  </si>
  <si>
    <t xml:space="preserve">1 h</t>
  </si>
  <si>
    <t xml:space="preserve">time_utc, bt, by_gsm, bz_gsm, bz_min, speed, speed_max, density, interpolated, source_id</t>
  </si>
  <si>
    <t xml:space="preserve">solar_wind_hourly</t>
  </si>
  <si>
    <t xml:space="preserve">fact_weather_observed</t>
  </si>
  <si>
    <t xml:space="preserve">Fait par lieu</t>
  </si>
  <si>
    <t xml:space="preserve">lieu × 1 h</t>
  </si>
  <si>
    <t xml:space="preserve">location_id, time_utc</t>
  </si>
  <si>
    <t xml:space="preserve">location_id → dim_location
time_utc → dim_time
source_id → dim_source</t>
  </si>
  <si>
    <t xml:space="preserve">CHECK (oktas &gt;= (0)) AND (oktas &lt;= (8))</t>
  </si>
  <si>
    <t xml:space="preserve">location_id, time_utc, oktas, cloud_cover_pct, obscured, temp_c, dewpoint_c, rel_humidity_pct, pressure_hpa, wind_speed_ms, wind_dir_deg, visibility_km, visibility_capped, fog, mist, present_weather, n_obs, source_id</t>
  </si>
  <si>
    <t xml:space="preserve">cloud_hourly + weather_hourly (fusionnées)</t>
  </si>
  <si>
    <t xml:space="preserve">fact_weather_daily</t>
  </si>
  <si>
    <t xml:space="preserve">lieu × jour</t>
  </si>
  <si>
    <t xml:space="preserve">source_id → dim_source
location_id → dim_location
time_utc → dim_time</t>
  </si>
  <si>
    <t xml:space="preserve">location_id, time_utc, station_id, temp_c, temp_max_c, temp_min_c, dewpoint_c, rel_humidity_pct, visibility_km, wind_mean_ms, wind_max_ms, precip_mm, precip_flag, precip_suspect, fog, rain, snow, hail, thunder, source_id</t>
  </si>
  <si>
    <t xml:space="preserve">fact_weather_forecast</t>
  </si>
  <si>
    <t xml:space="preserve">lieu × émission × heure visée</t>
  </si>
  <si>
    <t xml:space="preserve">location_id, issued_at, target_time</t>
  </si>
  <si>
    <t xml:space="preserve">target_time → dim_time
location_id → dim_location
source_id → dim_source</t>
  </si>
  <si>
    <t xml:space="preserve">location_id, issued_at, target_time, lead_hours, step_hours, cloud_cover_pct, cloud_low_pct, cloud_medium_pct, cloud_high_pct, fog_pct, temp_c, dewpoint_c, rel_humidity_pct, pressure_hpa, wind_speed_ms, wind_dir_deg, wind_gust_ms, precip_mm, precip_probability_pct, symbol_code, source_id</t>
  </si>
  <si>
    <t xml:space="preserve">weather_forecast</t>
  </si>
  <si>
    <t xml:space="preserve">fact_astronomy</t>
  </si>
  <si>
    <t xml:space="preserve">location_id, time_utc, sun_alt_deg, night_phase, moon_alt_deg, moon_illum_pct, moon_up, polar_night, midnight_sun, source_id</t>
  </si>
  <si>
    <t xml:space="preserve">astronomy_hourly</t>
  </si>
  <si>
    <t xml:space="preserve">load_run</t>
  </si>
  <si>
    <t xml:space="preserve">Suivi</t>
  </si>
  <si>
    <t xml:space="preserve">un chargement</t>
  </si>
  <si>
    <t xml:space="preserve">run_id</t>
  </si>
  <si>
    <t xml:space="preserve">run_id, started_at, finished_at, rows_loaded, database_mb</t>
  </si>
  <si>
    <t xml:space="preserve">écrite par warehouse/load.py</t>
  </si>
  <si>
    <t xml:space="preserve">v_aurora_conditions</t>
  </si>
  <si>
    <t xml:space="preserve">Vue</t>
  </si>
  <si>
    <t xml:space="preserve">location, time_utc, kp, kp_ge_4, oktas, fog, sun_alt_deg, night_phase, moon_alt_deg, moon_illum_pct, dark_sky, clear_sky</t>
  </si>
  <si>
    <t xml:space="preserve">fact_astronomy + fact_weather_observed + fact_kp + dim_location</t>
  </si>
  <si>
    <t xml:space="preserve">Total des lignes (tables chargées)</t>
  </si>
  <si>
    <t xml:space="preserve">Nombres de lignes du chargement du 29/10/2026 ; chaque chargement les enregistre dans la table load_run.</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</si>
  <si>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</si>
  <si>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</si>
  <si>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</si>
  <si>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</si>
  <si>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</si>
  <si>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</si>
  <si>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</si>
  <si>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</si>
  <si>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</si>
  <si>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</si>
  <si>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</si>
  <si>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</si>
  <si>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</si>
  <si>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</si>
  <si>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</si>
  <si>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</si>
  <si>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</si>
  <si>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</si>
  <si>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</si>
  <si>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</si>
  <si>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</si>
  <si>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</si>
  <si>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</si>
  <si>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</si>
  <si>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</si>
  <si>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</si>
  <si>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</si>
  <si>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</si>
  <si>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</si>
  <si>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</si>
  <si>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</si>
  <si>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</si>
  <si>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</si>
  <si>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</si>
  <si>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</si>
  <si>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</si>
  <si>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</si>
  <si>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</si>
  <si>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</si>
  <si>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</si>
  <si>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</si>
  <si>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</si>
  <si>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</si>
  <si>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</si>
  <si>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</si>
  <si>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</si>
  <si>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 MET Norway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</si>
  <si>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</si>
  <si>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</si>
  <si>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</si>
  <si>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</si>
  <si>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</si>
  <si>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</si>
  <si>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</si>
  <si>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</si>
  <si>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</si>
  <si>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</si>
  <si>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</si>
  <si>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</si>
  <si>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</si>
  <si>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</si>
  <si>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</si>
  <si>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</si>
  <si>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</si>
  <si>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</si>
  <si>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</si>
  <si>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</si>
  <si>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</si>
  <si>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</si>
  <si>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</si>
  <si>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</si>
  <si>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</si>
  <si>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</si>
  <si>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</si>
  <si>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</si>
  <si>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</si>
  <si>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</si>
  <si>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</si>
  <si>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</si>
  <si>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</si>
  <si>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</si>
  <si>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</si>
  <si>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</si>
  <si>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</si>
  <si>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</si>
  <si>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</si>
  <si>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</si>
  <si>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</si>
  <si>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</si>
  <si>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</si>
  <si>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</si>
  <si>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</si>
  <si>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</si>
  <si>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</si>
  <si>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</si>
  <si>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</si>
  <si>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</si>
  <si>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</si>
  <si>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</si>
  <si>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</si>
  <si>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</si>
  <si>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</si>
  <si>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</si>
  <si>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</si>
  <si>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</si>
  <si>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</si>
  <si>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</si>
  <si>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</si>
  <si>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</si>
  <si>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</si>
  <si>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</si>
  <si>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</si>
  <si>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</si>
  <si>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</si>
  <si>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</si>
  <si>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</si>
  <si>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</si>
  <si>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</si>
  <si>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</si>
  <si>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</si>
  <si>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MET Norway (prévisions météo)</t>
  </si>
  <si>
    <t xml:space="preserve">Conditions d'utilisation de l'API</t>
  </si>
  <si>
    <t xml:space="preserve">https://api.met.no/doc/TermsOfService</t>
  </si>
  <si>
    <t xml:space="preserve">User-Agent identifiable avec contact obligatoire ; plus de 20 requêtes par seconde : accord spécial, sinon HTTP 429 ; ne pas redemander avant l'en-tête Expires, utiliser If-Modified-Since ; coordonnées à 4 décimales au plus (5 : HTTP 403) ; données ouvertes sous CC BY 4.0 (citer, lien vers la licence, signaler les modifications) ; interdit de contourner les limites ou d'usurper un autre client, sous peine de blocage définitif.</t>
  </si>
  <si>
    <t xml:space="preserve">3 requêtes toutes les 3 h, User-Agent « AuroraCast » avec contact, Expires et If-Modified-Since lus dans les manifestes, coordonnées tronquées à 4 décimales (en décimal). Citer « Données MET Norway, CC BY 4.0 » dans l'application et le dossier.</t>
  </si>
  <si>
    <t xml:space="preserve">https://api.met.no/robots.txt</t>
  </si>
  <si>
    <t xml:space="preserve">Googlebot et AdsBot-Google : seule la documentation est permise, /weatherapi/* interdit. « User-agent: * » : Disallow vide, donc tout est permis.</t>
  </si>
  <si>
    <t xml:space="preserve">Collecte autorisée pour AuroraCast ; vérifié automatiquement à chaque passage (manifeste : robots = « lu », allowed = true).</t>
  </si>
  <si>
    <t xml:space="preserve">Toutes les sources</t>
  </si>
  <si>
    <t xml:space="preserve">GFZ, NOAA SWPC, OMNIWeb, NOAA GHCNh, NOAA GSOD (via BigQuery) et MET Norway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Obligations d'affichage : une prévision présentée comme celle d'AuroraCast, pas de la NOAA ; mention « Données MET Norway, CC BY 4.0 » à côté des prévisions météo.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</si>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</sst>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9"/>
      <color rgb="FF595959"/>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101</v>
      </c>
    </row>
    <row r="16" customFormat="false" ht="15" hidden="false" customHeight="true" outlineLevel="0" collapsed="false">
      <c r="A16" s="5" t="s">
        <v>102</v>
      </c>
      <c r="B16" s="6" t="s">
        <v>92</v>
      </c>
      <c r="C16" s="6" t="s">
        <v>103</v>
      </c>
      <c r="D16" s="7" t="s">
        <v>104</v>
      </c>
      <c r="E16" s="6" t="s">
        <v>95</v>
      </c>
      <c r="F16" s="6" t="s">
        <v>96</v>
      </c>
      <c r="G16" s="6" t="s">
        <v>105</v>
      </c>
      <c r="H16" s="6" t="s">
        <v>98</v>
      </c>
      <c r="I16" s="7" t="s">
        <v>87</v>
      </c>
      <c r="J16" s="7" t="s">
        <v>24</v>
      </c>
      <c r="K16" s="6" t="s">
        <v>106</v>
      </c>
      <c r="L16" s="6" t="s">
        <v>100</v>
      </c>
      <c r="M16" s="7" t="s">
        <v>107</v>
      </c>
    </row>
    <row r="17" customFormat="false" ht="23.25" hidden="false" customHeight="true" outlineLevel="0" collapsed="false">
      <c r="A17" s="5" t="s">
        <v>108</v>
      </c>
      <c r="B17" s="6" t="s">
        <v>109</v>
      </c>
      <c r="C17" s="6" t="s">
        <v>110</v>
      </c>
      <c r="D17" s="7" t="s">
        <v>111</v>
      </c>
      <c r="E17" s="6" t="s">
        <v>112</v>
      </c>
      <c r="F17" s="6" t="s">
        <v>113</v>
      </c>
      <c r="G17" s="6" t="s">
        <v>114</v>
      </c>
      <c r="H17" s="6" t="s">
        <v>115</v>
      </c>
      <c r="I17" s="7" t="s">
        <v>23</v>
      </c>
      <c r="J17" s="7" t="s">
        <v>24</v>
      </c>
      <c r="K17" s="6" t="s">
        <v>116</v>
      </c>
      <c r="L17" s="6" t="s">
        <v>117</v>
      </c>
      <c r="M17" s="7" t="s">
        <v>118</v>
      </c>
    </row>
    <row r="18" customFormat="false" ht="23.25" hidden="false" customHeight="true" outlineLevel="0" collapsed="false">
      <c r="A18" s="5" t="s">
        <v>119</v>
      </c>
      <c r="B18" s="6" t="s">
        <v>120</v>
      </c>
      <c r="C18" s="6" t="s">
        <v>121</v>
      </c>
      <c r="D18" s="7" t="s">
        <v>122</v>
      </c>
      <c r="E18" s="6" t="s">
        <v>123</v>
      </c>
      <c r="F18" s="6" t="s">
        <v>124</v>
      </c>
      <c r="G18" s="6" t="s">
        <v>125</v>
      </c>
      <c r="H18" s="6" t="s">
        <v>126</v>
      </c>
      <c r="I18" s="7" t="s">
        <v>33</v>
      </c>
      <c r="J18" s="7" t="s">
        <v>50</v>
      </c>
      <c r="K18" s="6" t="s">
        <v>127</v>
      </c>
      <c r="L18" s="6" t="s">
        <v>128</v>
      </c>
      <c r="M18" s="7" t="s">
        <v>90</v>
      </c>
    </row>
    <row r="19" customFormat="false" ht="23.25" hidden="false" customHeight="true" outlineLevel="0" collapsed="false">
      <c r="A19" s="5" t="s">
        <v>129</v>
      </c>
      <c r="B19" s="6" t="s">
        <v>120</v>
      </c>
      <c r="C19" s="6" t="s">
        <v>130</v>
      </c>
      <c r="D19" s="7" t="s">
        <v>131</v>
      </c>
      <c r="E19" s="6" t="s">
        <v>40</v>
      </c>
      <c r="F19" s="6" t="s">
        <v>72</v>
      </c>
      <c r="G19" s="6" t="s">
        <v>132</v>
      </c>
      <c r="H19" s="6" t="s">
        <v>126</v>
      </c>
      <c r="I19" s="7" t="s">
        <v>49</v>
      </c>
      <c r="J19" s="7" t="s">
        <v>50</v>
      </c>
      <c r="K19" s="6" t="s">
        <v>133</v>
      </c>
      <c r="L19" s="6" t="s">
        <v>35</v>
      </c>
      <c r="M19" s="7" t="s">
        <v>90</v>
      </c>
    </row>
    <row r="20" customFormat="false" ht="23.25" hidden="false" customHeight="true" outlineLevel="0" collapsed="false">
      <c r="A20" s="5" t="s">
        <v>134</v>
      </c>
      <c r="B20" s="6" t="s">
        <v>120</v>
      </c>
      <c r="C20" s="6" t="s">
        <v>135</v>
      </c>
      <c r="D20" s="7" t="s">
        <v>136</v>
      </c>
      <c r="E20" s="6" t="s">
        <v>40</v>
      </c>
      <c r="F20" s="6" t="s">
        <v>137</v>
      </c>
      <c r="G20" s="6" t="s">
        <v>138</v>
      </c>
      <c r="H20" s="6" t="s">
        <v>126</v>
      </c>
      <c r="I20" s="7" t="s">
        <v>49</v>
      </c>
      <c r="J20" s="7" t="s">
        <v>56</v>
      </c>
      <c r="K20" s="6" t="s">
        <v>139</v>
      </c>
      <c r="L20" s="6" t="s">
        <v>140</v>
      </c>
      <c r="M20" s="7" t="s">
        <v>90</v>
      </c>
    </row>
    <row r="21" customFormat="false" ht="23.25" hidden="false" customHeight="true" outlineLevel="0" collapsed="false">
      <c r="A21" s="5" t="s">
        <v>141</v>
      </c>
      <c r="B21" s="6" t="s">
        <v>120</v>
      </c>
      <c r="C21" s="6" t="s">
        <v>142</v>
      </c>
      <c r="D21" s="7" t="s">
        <v>78</v>
      </c>
      <c r="E21" s="6" t="s">
        <v>143</v>
      </c>
      <c r="F21" s="6" t="s">
        <v>144</v>
      </c>
      <c r="G21" s="6" t="s">
        <v>145</v>
      </c>
      <c r="H21" s="6" t="s">
        <v>146</v>
      </c>
      <c r="I21" s="7" t="s">
        <v>147</v>
      </c>
      <c r="J21" s="7" t="s">
        <v>50</v>
      </c>
      <c r="K21" s="6" t="s">
        <v>148</v>
      </c>
      <c r="L21" s="6" t="s">
        <v>35</v>
      </c>
      <c r="M21" s="7" t="s">
        <v>149</v>
      </c>
    </row>
    <row r="22" customFormat="false" ht="23.25" hidden="false" customHeight="true" outlineLevel="0" collapsed="false">
      <c r="A22" s="5" t="s">
        <v>150</v>
      </c>
      <c r="B22" s="6" t="s">
        <v>109</v>
      </c>
      <c r="C22" s="6" t="s">
        <v>151</v>
      </c>
      <c r="D22" s="7" t="s">
        <v>152</v>
      </c>
      <c r="E22" s="6" t="s">
        <v>153</v>
      </c>
      <c r="F22" s="6" t="s">
        <v>154</v>
      </c>
      <c r="G22" s="6" t="s">
        <v>155</v>
      </c>
      <c r="H22" s="6" t="s">
        <v>156</v>
      </c>
      <c r="I22" s="7" t="s">
        <v>23</v>
      </c>
      <c r="J22" s="7" t="s">
        <v>50</v>
      </c>
      <c r="K22" s="6" t="s">
        <v>157</v>
      </c>
      <c r="L22" s="6" t="s">
        <v>158</v>
      </c>
      <c r="M22" s="7" t="s">
        <v>159</v>
      </c>
    </row>
    <row r="23" customFormat="false" ht="23.25" hidden="false" customHeight="true" outlineLevel="0" collapsed="false">
      <c r="A23" s="5" t="s">
        <v>160</v>
      </c>
      <c r="B23" s="6" t="s">
        <v>109</v>
      </c>
      <c r="C23" s="6" t="s">
        <v>161</v>
      </c>
      <c r="D23" s="7" t="s">
        <v>162</v>
      </c>
      <c r="E23" s="6" t="s">
        <v>153</v>
      </c>
      <c r="F23" s="6" t="s">
        <v>154</v>
      </c>
      <c r="G23" s="6" t="s">
        <v>155</v>
      </c>
      <c r="H23" s="6" t="s">
        <v>156</v>
      </c>
      <c r="I23" s="7" t="s">
        <v>49</v>
      </c>
      <c r="J23" s="7" t="s">
        <v>50</v>
      </c>
      <c r="K23" s="6" t="s">
        <v>163</v>
      </c>
      <c r="L23" s="6" t="s">
        <v>158</v>
      </c>
      <c r="M23" s="7" t="s">
        <v>159</v>
      </c>
    </row>
    <row r="24" customFormat="false" ht="23.25" hidden="false" customHeight="true" outlineLevel="0" collapsed="false">
      <c r="A24" s="5" t="s">
        <v>164</v>
      </c>
      <c r="B24" s="6" t="s">
        <v>109</v>
      </c>
      <c r="C24" s="6" t="s">
        <v>165</v>
      </c>
      <c r="D24" s="7" t="s">
        <v>166</v>
      </c>
      <c r="E24" s="6" t="s">
        <v>153</v>
      </c>
      <c r="F24" s="6" t="s">
        <v>154</v>
      </c>
      <c r="G24" s="6" t="s">
        <v>155</v>
      </c>
      <c r="H24" s="6" t="s">
        <v>156</v>
      </c>
      <c r="I24" s="7" t="s">
        <v>49</v>
      </c>
      <c r="J24" s="7" t="s">
        <v>24</v>
      </c>
      <c r="K24" s="6" t="s">
        <v>167</v>
      </c>
      <c r="L24" s="6" t="s">
        <v>158</v>
      </c>
      <c r="M24" s="7" t="s">
        <v>159</v>
      </c>
    </row>
    <row r="25" customFormat="false" ht="23.25" hidden="false" customHeight="true" outlineLevel="0" collapsed="false">
      <c r="A25" s="5" t="s">
        <v>168</v>
      </c>
      <c r="B25" s="6" t="s">
        <v>109</v>
      </c>
      <c r="C25" s="6" t="s">
        <v>169</v>
      </c>
      <c r="D25" s="7" t="s">
        <v>170</v>
      </c>
      <c r="E25" s="6" t="s">
        <v>153</v>
      </c>
      <c r="F25" s="6" t="s">
        <v>154</v>
      </c>
      <c r="G25" s="6" t="s">
        <v>155</v>
      </c>
      <c r="H25" s="6" t="s">
        <v>156</v>
      </c>
      <c r="I25" s="7" t="s">
        <v>49</v>
      </c>
      <c r="J25" s="7" t="s">
        <v>24</v>
      </c>
      <c r="K25" s="6" t="s">
        <v>171</v>
      </c>
      <c r="L25" s="6" t="s">
        <v>158</v>
      </c>
      <c r="M25" s="7" t="s">
        <v>159</v>
      </c>
    </row>
    <row r="26" customFormat="false" ht="23.25" hidden="false" customHeight="true" outlineLevel="0" collapsed="false">
      <c r="A26" s="5" t="s">
        <v>172</v>
      </c>
      <c r="B26" s="6" t="s">
        <v>109</v>
      </c>
      <c r="C26" s="6" t="s">
        <v>173</v>
      </c>
      <c r="D26" s="7" t="s">
        <v>174</v>
      </c>
      <c r="E26" s="6" t="s">
        <v>153</v>
      </c>
      <c r="F26" s="6" t="s">
        <v>154</v>
      </c>
      <c r="G26" s="6" t="s">
        <v>155</v>
      </c>
      <c r="H26" s="6" t="s">
        <v>156</v>
      </c>
      <c r="I26" s="7" t="s">
        <v>49</v>
      </c>
      <c r="J26" s="7" t="s">
        <v>56</v>
      </c>
      <c r="K26" s="6" t="s">
        <v>175</v>
      </c>
      <c r="L26" s="6" t="s">
        <v>158</v>
      </c>
      <c r="M26" s="7" t="s">
        <v>159</v>
      </c>
    </row>
    <row r="27" customFormat="false" ht="23.25" hidden="false" customHeight="true" outlineLevel="0" collapsed="false">
      <c r="A27" s="5" t="s">
        <v>176</v>
      </c>
      <c r="B27" s="6" t="s">
        <v>109</v>
      </c>
      <c r="C27" s="6" t="s">
        <v>177</v>
      </c>
      <c r="D27" s="7" t="s">
        <v>178</v>
      </c>
      <c r="E27" s="6" t="s">
        <v>123</v>
      </c>
      <c r="F27" s="6" t="s">
        <v>179</v>
      </c>
      <c r="G27" s="6" t="s">
        <v>180</v>
      </c>
      <c r="H27" s="6" t="s">
        <v>181</v>
      </c>
      <c r="I27" s="7" t="s">
        <v>49</v>
      </c>
      <c r="J27" s="7" t="s">
        <v>56</v>
      </c>
      <c r="K27" s="6" t="s">
        <v>182</v>
      </c>
      <c r="L27" s="6" t="s">
        <v>183</v>
      </c>
      <c r="M27" s="7" t="s">
        <v>184</v>
      </c>
    </row>
    <row r="28" customFormat="false" ht="23.25" hidden="false" customHeight="true" outlineLevel="0" collapsed="false">
      <c r="A28" s="5" t="s">
        <v>185</v>
      </c>
      <c r="B28" s="6" t="s">
        <v>109</v>
      </c>
      <c r="C28" s="6" t="s">
        <v>186</v>
      </c>
      <c r="D28" s="7" t="s">
        <v>187</v>
      </c>
      <c r="E28" s="6" t="s">
        <v>112</v>
      </c>
      <c r="F28" s="6" t="s">
        <v>188</v>
      </c>
      <c r="G28" s="6" t="s">
        <v>189</v>
      </c>
      <c r="H28" s="6" t="s">
        <v>190</v>
      </c>
      <c r="I28" s="7" t="s">
        <v>49</v>
      </c>
      <c r="J28" s="7" t="s">
        <v>56</v>
      </c>
      <c r="K28" s="6" t="s">
        <v>191</v>
      </c>
      <c r="L28" s="6" t="s">
        <v>192</v>
      </c>
      <c r="M28" s="7" t="s">
        <v>193</v>
      </c>
    </row>
    <row r="29" customFormat="false" ht="23.25" hidden="false" customHeight="true" outlineLevel="0" collapsed="false">
      <c r="A29" s="5" t="s">
        <v>194</v>
      </c>
      <c r="B29" s="6" t="s">
        <v>109</v>
      </c>
      <c r="C29" s="6" t="s">
        <v>195</v>
      </c>
      <c r="D29" s="7" t="s">
        <v>111</v>
      </c>
      <c r="E29" s="6" t="s">
        <v>196</v>
      </c>
      <c r="F29" s="6" t="s">
        <v>197</v>
      </c>
      <c r="G29" s="6" t="s">
        <v>198</v>
      </c>
      <c r="H29" s="6" t="s">
        <v>22</v>
      </c>
      <c r="I29" s="7" t="s">
        <v>199</v>
      </c>
      <c r="J29" s="7" t="s">
        <v>24</v>
      </c>
      <c r="K29" s="6" t="s">
        <v>200</v>
      </c>
      <c r="L29" s="6" t="s">
        <v>201</v>
      </c>
      <c r="M29" s="7" t="s">
        <v>202</v>
      </c>
    </row>
    <row r="30" customFormat="false" ht="23.25" hidden="false" customHeight="true" outlineLevel="0" collapsed="false">
      <c r="A30" s="5" t="s">
        <v>203</v>
      </c>
      <c r="B30" s="6" t="s">
        <v>109</v>
      </c>
      <c r="C30" s="6" t="s">
        <v>204</v>
      </c>
      <c r="D30" s="7" t="s">
        <v>111</v>
      </c>
      <c r="E30" s="6" t="s">
        <v>196</v>
      </c>
      <c r="F30" s="6" t="s">
        <v>197</v>
      </c>
      <c r="G30" s="6" t="s">
        <v>205</v>
      </c>
      <c r="H30" s="6" t="s">
        <v>22</v>
      </c>
      <c r="I30" s="7" t="s">
        <v>199</v>
      </c>
      <c r="J30" s="7" t="s">
        <v>50</v>
      </c>
      <c r="K30" s="6" t="s">
        <v>206</v>
      </c>
      <c r="L30" s="6" t="s">
        <v>201</v>
      </c>
      <c r="M30" s="7" t="s">
        <v>202</v>
      </c>
    </row>
  </sheetData>
  <conditionalFormatting sqref="J5:J30">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30">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30" type="list">
      <formula1>"À faire,En cours,Terminé"</formula1>
      <formula2>0</formula2>
    </dataValidation>
    <dataValidation allowBlank="false" errorStyle="stop" operator="between" showDropDown="false" showErrorMessage="false" showInputMessage="false" sqref="J5:J30"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207</v>
      </c>
    </row>
    <row r="3" customFormat="false" ht="15" hidden="false" customHeight="true" outlineLevel="0" collapsed="false">
      <c r="A3" s="8" t="s">
        <v>11</v>
      </c>
      <c r="B3" s="8" t="s">
        <v>208</v>
      </c>
    </row>
    <row r="4" customFormat="false" ht="15" hidden="false" customHeight="true" outlineLevel="0" collapsed="false">
      <c r="A4" s="9" t="s">
        <v>24</v>
      </c>
      <c r="B4" s="10" t="n">
        <f aca="false">COUNTIF('Dictionnaire de données'!$J$5:$J$30,A4)</f>
        <v>10</v>
      </c>
    </row>
    <row r="5" customFormat="false" ht="15" hidden="false" customHeight="true" outlineLevel="0" collapsed="false">
      <c r="A5" s="9" t="s">
        <v>50</v>
      </c>
      <c r="B5" s="10" t="n">
        <f aca="false">COUNTIF('Dictionnaire de données'!$J$5:$J$30,A5)</f>
        <v>10</v>
      </c>
    </row>
    <row r="6" customFormat="false" ht="15" hidden="false" customHeight="true" outlineLevel="0" collapsed="false">
      <c r="A6" s="9" t="s">
        <v>56</v>
      </c>
      <c r="B6" s="10" t="n">
        <f aca="false">COUNTIF('Dictionnaire de données'!$J$5:$J$30,A6)</f>
        <v>5</v>
      </c>
    </row>
    <row r="7" customFormat="false" ht="15" hidden="false" customHeight="true" outlineLevel="0" collapsed="false">
      <c r="A7" s="9" t="s">
        <v>88</v>
      </c>
      <c r="B7" s="10" t="n">
        <f aca="false">COUNTIF('Dictionnaire de données'!$J$5:$J$30,A7)</f>
        <v>1</v>
      </c>
    </row>
    <row r="8" customFormat="false" ht="15" hidden="false" customHeight="true" outlineLevel="0" collapsed="false">
      <c r="A8" s="11" t="s">
        <v>209</v>
      </c>
      <c r="B8" s="12" t="n">
        <f aca="false">SUM(B4:B7)</f>
        <v>26</v>
      </c>
    </row>
    <row r="10" customFormat="false" ht="15" hidden="false" customHeight="true" outlineLevel="0" collapsed="false">
      <c r="A10" s="13" t="s">
        <v>210</v>
      </c>
    </row>
    <row r="11" customFormat="false" ht="15" hidden="false" customHeight="true" outlineLevel="0" collapsed="false">
      <c r="A11" s="9" t="s">
        <v>22</v>
      </c>
      <c r="B11" s="10" t="n">
        <f aca="false">COUNTIF('Dictionnaire de données'!$H$5:$H$30,"*"&amp;A11&amp;"*")</f>
        <v>22</v>
      </c>
    </row>
    <row r="12" customFormat="false" ht="15" hidden="false" customHeight="true" outlineLevel="0" collapsed="false">
      <c r="A12" s="9" t="s">
        <v>211</v>
      </c>
      <c r="B12" s="10" t="n">
        <f aca="false">COUNTIF('Dictionnaire de données'!$H$5:$H$30,"*"&amp;A12&amp;"*")</f>
        <v>5</v>
      </c>
    </row>
    <row r="13" customFormat="false" ht="15" hidden="false" customHeight="true" outlineLevel="0" collapsed="false">
      <c r="A13" s="9" t="s">
        <v>98</v>
      </c>
      <c r="B13" s="10" t="n">
        <f aca="false">COUNTIF('Dictionnaire de données'!$H$5:$H$30,"*"&amp;A13&amp;"*")</f>
        <v>2</v>
      </c>
    </row>
    <row r="14" customFormat="false" ht="15" hidden="false" customHeight="true" outlineLevel="0" collapsed="false">
      <c r="A14" s="9" t="s">
        <v>212</v>
      </c>
      <c r="B14" s="10" t="n">
        <f aca="false">COUNTIF('Dictionnaire de données'!$H$5:$H$30,"*"&amp;A14&amp;"*")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213</v>
      </c>
    </row>
    <row r="3" customFormat="false" ht="15" hidden="false" customHeight="true" outlineLevel="0" collapsed="false">
      <c r="A3" s="14" t="s">
        <v>214</v>
      </c>
      <c r="B3" s="14" t="s">
        <v>215</v>
      </c>
    </row>
    <row r="4" customFormat="false" ht="23.25" hidden="false" customHeight="true" outlineLevel="0" collapsed="false">
      <c r="A4" s="15" t="s">
        <v>216</v>
      </c>
      <c r="B4" s="16" t="s">
        <v>217</v>
      </c>
    </row>
    <row r="5" customFormat="false" ht="15" hidden="false" customHeight="true" outlineLevel="0" collapsed="false">
      <c r="A5" s="15" t="s">
        <v>218</v>
      </c>
      <c r="B5" s="16" t="s">
        <v>219</v>
      </c>
    </row>
    <row r="6" customFormat="false" ht="23.25" hidden="false" customHeight="true" outlineLevel="0" collapsed="false">
      <c r="A6" s="15" t="s">
        <v>220</v>
      </c>
      <c r="B6" s="16" t="s">
        <v>221</v>
      </c>
    </row>
    <row r="7" customFormat="false" ht="15" hidden="false" customHeight="true" outlineLevel="0" collapsed="false">
      <c r="A7" s="15" t="s">
        <v>222</v>
      </c>
      <c r="B7" s="16" t="s">
        <v>223</v>
      </c>
    </row>
    <row r="8" customFormat="false" ht="15" hidden="false" customHeight="true" outlineLevel="0" collapsed="false">
      <c r="A8" s="15" t="s">
        <v>224</v>
      </c>
      <c r="B8" s="16" t="s">
        <v>225</v>
      </c>
    </row>
    <row r="9" customFormat="false" ht="23.25" hidden="false" customHeight="true" outlineLevel="0" collapsed="false">
      <c r="A9" s="15" t="s">
        <v>226</v>
      </c>
      <c r="B9" s="16" t="s">
        <v>227</v>
      </c>
    </row>
    <row r="10" customFormat="false" ht="15" hidden="false" customHeight="true" outlineLevel="0" collapsed="false">
      <c r="A10" s="15" t="s">
        <v>140</v>
      </c>
      <c r="B10" s="16" t="s">
        <v>228</v>
      </c>
    </row>
    <row r="11" customFormat="false" ht="23.85" hidden="false" customHeight="false" outlineLevel="0" collapsed="false">
      <c r="A11" s="15" t="s">
        <v>229</v>
      </c>
      <c r="B11" s="16"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60"/>
    <col collapsed="false" customWidth="true" hidden="false" outlineLevel="0" max="4" min="4" style="1" width="46"/>
    <col collapsed="false" customWidth="true" hidden="false" outlineLevel="0" max="5" min="5" style="1" width="34"/>
    <col collapsed="false" customWidth="true" hidden="false" outlineLevel="0" max="6" min="6" style="1" width="26"/>
  </cols>
  <sheetData>
    <row r="1" customFormat="false" ht="17.25" hidden="false" customHeight="true" outlineLevel="0" collapsed="false">
      <c r="A1" s="2" t="s">
        <v>231</v>
      </c>
    </row>
    <row r="2" customFormat="false" ht="15" hidden="false" customHeight="true" outlineLevel="0" collapsed="false">
      <c r="A2" s="17" t="s">
        <v>232</v>
      </c>
    </row>
    <row r="4" customFormat="false" ht="30" hidden="false" customHeight="true" outlineLevel="0" collapsed="false">
      <c r="A4" s="18" t="s">
        <v>233</v>
      </c>
      <c r="B4" s="18" t="s">
        <v>8</v>
      </c>
      <c r="C4" s="18" t="s">
        <v>234</v>
      </c>
      <c r="D4" s="18" t="s">
        <v>235</v>
      </c>
      <c r="E4" s="18" t="s">
        <v>236</v>
      </c>
      <c r="F4" s="18" t="s">
        <v>237</v>
      </c>
    </row>
    <row r="5" customFormat="false" ht="23.25" hidden="false" customHeight="true" outlineLevel="0" collapsed="false">
      <c r="A5" s="16" t="s">
        <v>22</v>
      </c>
      <c r="B5" s="16" t="s">
        <v>238</v>
      </c>
      <c r="C5" s="16" t="s">
        <v>239</v>
      </c>
      <c r="D5" s="16" t="s">
        <v>240</v>
      </c>
      <c r="E5" s="16" t="s">
        <v>241</v>
      </c>
      <c r="F5" s="16" t="s">
        <v>72</v>
      </c>
    </row>
    <row r="6" customFormat="false" ht="23.25" hidden="false" customHeight="true" outlineLevel="0" collapsed="false">
      <c r="A6" s="16" t="s">
        <v>22</v>
      </c>
      <c r="B6" s="16" t="s">
        <v>242</v>
      </c>
      <c r="C6" s="16" t="s">
        <v>243</v>
      </c>
      <c r="D6" s="16" t="s">
        <v>244</v>
      </c>
      <c r="E6" s="16" t="s">
        <v>245</v>
      </c>
      <c r="F6" s="16" t="s">
        <v>246</v>
      </c>
    </row>
    <row r="7" customFormat="false" ht="23.25" hidden="false" customHeight="true" outlineLevel="0" collapsed="false">
      <c r="A7" s="16" t="s">
        <v>22</v>
      </c>
      <c r="B7" s="16" t="s">
        <v>247</v>
      </c>
      <c r="C7" s="16" t="s">
        <v>248</v>
      </c>
      <c r="D7" s="16" t="s">
        <v>249</v>
      </c>
      <c r="E7" s="16" t="s">
        <v>250</v>
      </c>
      <c r="F7" s="16" t="s">
        <v>251</v>
      </c>
    </row>
    <row r="8" customFormat="false" ht="23.25" hidden="false" customHeight="true" outlineLevel="0" collapsed="false">
      <c r="A8" s="16" t="s">
        <v>211</v>
      </c>
      <c r="B8" s="16" t="s">
        <v>238</v>
      </c>
      <c r="C8" s="16" t="s">
        <v>252</v>
      </c>
      <c r="D8" s="16" t="s">
        <v>253</v>
      </c>
      <c r="E8" s="16" t="s">
        <v>241</v>
      </c>
      <c r="F8" s="16" t="s">
        <v>72</v>
      </c>
    </row>
    <row r="9" customFormat="false" ht="23.25" hidden="false" customHeight="true" outlineLevel="0" collapsed="false">
      <c r="A9" s="16" t="s">
        <v>254</v>
      </c>
      <c r="B9" s="16" t="s">
        <v>255</v>
      </c>
      <c r="C9" s="16" t="s">
        <v>256</v>
      </c>
      <c r="D9" s="16" t="s">
        <v>257</v>
      </c>
      <c r="E9" s="16" t="s">
        <v>258</v>
      </c>
      <c r="F9" s="16" t="s">
        <v>259</v>
      </c>
    </row>
    <row r="10" customFormat="false" ht="15" hidden="false" customHeight="true" outlineLevel="0" collapsed="false">
      <c r="A10" s="16" t="s">
        <v>212</v>
      </c>
      <c r="B10" s="16" t="s">
        <v>260</v>
      </c>
      <c r="C10" s="16" t="s">
        <v>261</v>
      </c>
      <c r="D10" s="16" t="s">
        <v>262</v>
      </c>
      <c r="E10" s="16" t="s">
        <v>263</v>
      </c>
      <c r="F10" s="16" t="s">
        <v>264</v>
      </c>
    </row>
    <row r="11" customFormat="false" ht="15" hidden="false" customHeight="true" outlineLevel="0" collapsed="false">
      <c r="A11" s="16" t="s">
        <v>265</v>
      </c>
      <c r="B11" s="16" t="s">
        <v>266</v>
      </c>
      <c r="C11" s="16" t="s">
        <v>267</v>
      </c>
      <c r="D11" s="16" t="s">
        <v>268</v>
      </c>
      <c r="E11" s="16" t="s">
        <v>269</v>
      </c>
      <c r="F11" s="16" t="s">
        <v>259</v>
      </c>
    </row>
    <row r="12" customFormat="false" ht="15" hidden="false" customHeight="true" outlineLevel="0" collapsed="false">
      <c r="A12" s="17" t="s">
        <v>270</v>
      </c>
    </row>
    <row r="13" customFormat="false" ht="15" hidden="false" customHeight="true" outlineLevel="0" collapsed="false">
      <c r="A13" s="13" t="s">
        <v>271</v>
      </c>
    </row>
    <row r="14" customFormat="false" ht="15" hidden="false" customHeight="true" outlineLevel="0" collapsed="false">
      <c r="A14" s="13" t="s">
        <v>233</v>
      </c>
      <c r="B14" s="13" t="s">
        <v>272</v>
      </c>
    </row>
    <row r="15" customFormat="false" ht="15" hidden="false" customHeight="true" outlineLevel="0" collapsed="false">
      <c r="A15" s="19" t="s">
        <v>22</v>
      </c>
      <c r="B15" s="19" t="n">
        <f aca="false">COUNTIF($A$5:$A$11,A15)</f>
        <v>3</v>
      </c>
    </row>
    <row r="16" customFormat="false" ht="15" hidden="false" customHeight="true" outlineLevel="0" collapsed="false">
      <c r="A16" s="19" t="s">
        <v>211</v>
      </c>
      <c r="B16" s="19" t="n">
        <f aca="false">COUNTIF($A$5:$A$11,A16)</f>
        <v>1</v>
      </c>
    </row>
    <row r="17" customFormat="false" ht="15" hidden="false" customHeight="true" outlineLevel="0" collapsed="false">
      <c r="A17" s="19" t="s">
        <v>254</v>
      </c>
      <c r="B17" s="19" t="n">
        <f aca="false">COUNTIF($A$5:$A$11,A17)</f>
        <v>1</v>
      </c>
    </row>
    <row r="18" customFormat="false" ht="15" hidden="false" customHeight="true" outlineLevel="0" collapsed="false">
      <c r="A18" s="19" t="s">
        <v>212</v>
      </c>
      <c r="B18" s="19" t="n">
        <f aca="false">COUNTIF($A$5:$A$11,A18)</f>
        <v>1</v>
      </c>
    </row>
    <row r="19" customFormat="false" ht="15" hidden="false" customHeight="true" outlineLevel="0" collapsed="false">
      <c r="A19" s="19" t="s">
        <v>265</v>
      </c>
      <c r="B19" s="19" t="n">
        <f aca="false">COUNTIF($A$5:$A$11,A19)</f>
        <v>1</v>
      </c>
    </row>
    <row r="20" customFormat="false" ht="15" hidden="false" customHeight="true" outlineLevel="0" collapsed="false">
      <c r="A20" s="13" t="s">
        <v>209</v>
      </c>
      <c r="B20" s="13" t="n">
        <f aca="false">SUM(B15:B19)</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50"/>
    <col collapsed="false" customWidth="true" hidden="false" outlineLevel="0" max="3" min="3" style="1" width="56"/>
  </cols>
  <sheetData>
    <row r="1" customFormat="false" ht="17.25" hidden="false" customHeight="true" outlineLevel="0" collapsed="false">
      <c r="A1" s="2" t="s">
        <v>273</v>
      </c>
    </row>
    <row r="2" customFormat="false" ht="15" hidden="false" customHeight="true" outlineLevel="0" collapsed="false">
      <c r="A2" s="17" t="s">
        <v>274</v>
      </c>
    </row>
    <row r="4" customFormat="false" ht="30" hidden="false" customHeight="true" outlineLevel="0" collapsed="false">
      <c r="B4" s="18" t="s">
        <v>275</v>
      </c>
      <c r="C4" s="18" t="s">
        <v>276</v>
      </c>
    </row>
    <row r="5" customFormat="false" ht="15" hidden="false" customHeight="true" outlineLevel="0" collapsed="false">
      <c r="A5" s="16" t="s">
        <v>233</v>
      </c>
      <c r="B5" s="16" t="s">
        <v>181</v>
      </c>
      <c r="C5" s="16" t="s">
        <v>277</v>
      </c>
    </row>
    <row r="6" customFormat="false" ht="15" hidden="false" customHeight="true" outlineLevel="0" collapsed="false">
      <c r="A6" s="16" t="s">
        <v>215</v>
      </c>
      <c r="B6" s="16" t="s">
        <v>278</v>
      </c>
      <c r="C6" s="16" t="s">
        <v>279</v>
      </c>
    </row>
    <row r="7" customFormat="false" ht="15" hidden="false" customHeight="true" outlineLevel="0" collapsed="false">
      <c r="A7" s="16" t="s">
        <v>280</v>
      </c>
      <c r="B7" s="16" t="s">
        <v>281</v>
      </c>
      <c r="C7" s="16" t="s">
        <v>282</v>
      </c>
    </row>
    <row r="8" customFormat="false" ht="15" hidden="false" customHeight="true" outlineLevel="0" collapsed="false">
      <c r="A8" s="16" t="s">
        <v>283</v>
      </c>
      <c r="B8" s="16" t="s">
        <v>284</v>
      </c>
      <c r="C8" s="16" t="s">
        <v>285</v>
      </c>
    </row>
    <row r="9" customFormat="false" ht="23.25" hidden="false" customHeight="true" outlineLevel="0" collapsed="false">
      <c r="A9" s="16" t="s">
        <v>286</v>
      </c>
      <c r="B9" s="16" t="s">
        <v>287</v>
      </c>
      <c r="C9" s="16" t="s">
        <v>288</v>
      </c>
    </row>
    <row r="10" customFormat="false" ht="23.25" hidden="false" customHeight="true" outlineLevel="0" collapsed="false">
      <c r="A10" s="16" t="s">
        <v>289</v>
      </c>
      <c r="B10" s="16" t="s">
        <v>290</v>
      </c>
      <c r="C10" s="16" t="s">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4"/>
    <col collapsed="false" customWidth="true" hidden="false" outlineLevel="0" max="4" min="4" style="0" width="26"/>
    <col collapsed="false" customWidth="true" hidden="false" outlineLevel="0" max="5" min="5" style="0" width="34"/>
    <col collapsed="false" customWidth="true" hidden="false" outlineLevel="0" max="6" min="6" style="0" width="26"/>
    <col collapsed="false" customWidth="true" hidden="false" outlineLevel="0" max="7" min="7" style="0" width="60"/>
    <col collapsed="false" customWidth="true" hidden="false" outlineLevel="0" max="8" min="8" style="0" width="32"/>
    <col collapsed="false" customWidth="true" hidden="false" outlineLevel="0" max="9" min="9" style="0" width="11"/>
  </cols>
  <sheetData>
    <row r="1" customFormat="false" ht="17.35" hidden="false" customHeight="false" outlineLevel="0" collapsed="false">
      <c r="A1" s="2" t="s">
        <v>292</v>
      </c>
    </row>
    <row r="2" customFormat="false" ht="15" hidden="false" customHeight="false" outlineLevel="0" collapsed="false">
      <c r="A2" s="17" t="s">
        <v>293</v>
      </c>
    </row>
    <row r="4" customFormat="false" ht="15" hidden="false" customHeight="false" outlineLevel="0" collapsed="false">
      <c r="A4" s="18" t="s">
        <v>294</v>
      </c>
      <c r="B4" s="18" t="s">
        <v>295</v>
      </c>
      <c r="C4" s="18" t="s">
        <v>296</v>
      </c>
      <c r="D4" s="18" t="s">
        <v>297</v>
      </c>
      <c r="E4" s="18" t="s">
        <v>298</v>
      </c>
      <c r="F4" s="18" t="s">
        <v>299</v>
      </c>
      <c r="G4" s="18" t="s">
        <v>300</v>
      </c>
      <c r="H4" s="18" t="s">
        <v>301</v>
      </c>
      <c r="I4" s="18" t="s">
        <v>302</v>
      </c>
    </row>
    <row r="5" customFormat="false" ht="30" hidden="false" customHeight="true" outlineLevel="0" collapsed="false">
      <c r="A5" s="16" t="s">
        <v>303</v>
      </c>
      <c r="B5" s="16" t="s">
        <v>304</v>
      </c>
      <c r="C5" s="16" t="s">
        <v>305</v>
      </c>
      <c r="D5" s="16" t="s">
        <v>306</v>
      </c>
      <c r="E5" s="16" t="s">
        <v>87</v>
      </c>
      <c r="F5" s="16" t="s">
        <v>307</v>
      </c>
      <c r="G5" s="16" t="s">
        <v>308</v>
      </c>
      <c r="H5" s="16" t="s">
        <v>309</v>
      </c>
      <c r="I5" s="20" t="n">
        <v>3</v>
      </c>
    </row>
    <row r="6" customFormat="false" ht="30" hidden="false" customHeight="true" outlineLevel="0" collapsed="false">
      <c r="A6" s="16" t="s">
        <v>310</v>
      </c>
      <c r="B6" s="16" t="s">
        <v>304</v>
      </c>
      <c r="C6" s="16" t="s">
        <v>311</v>
      </c>
      <c r="D6" s="16" t="s">
        <v>312</v>
      </c>
      <c r="E6" s="16" t="s">
        <v>87</v>
      </c>
      <c r="F6" s="16" t="s">
        <v>87</v>
      </c>
      <c r="G6" s="16" t="s">
        <v>313</v>
      </c>
      <c r="H6" s="16" t="s">
        <v>314</v>
      </c>
      <c r="I6" s="20" t="n">
        <v>831490</v>
      </c>
    </row>
    <row r="7" customFormat="false" ht="30" hidden="false" customHeight="true" outlineLevel="0" collapsed="false">
      <c r="A7" s="16" t="s">
        <v>315</v>
      </c>
      <c r="B7" s="16" t="s">
        <v>304</v>
      </c>
      <c r="C7" s="16" t="s">
        <v>316</v>
      </c>
      <c r="D7" s="16" t="s">
        <v>317</v>
      </c>
      <c r="E7" s="16" t="s">
        <v>87</v>
      </c>
      <c r="F7" s="16" t="s">
        <v>307</v>
      </c>
      <c r="G7" s="16" t="s">
        <v>318</v>
      </c>
      <c r="H7" s="16" t="s">
        <v>319</v>
      </c>
      <c r="I7" s="20" t="n">
        <v>10</v>
      </c>
    </row>
    <row r="8" customFormat="false" ht="30" hidden="false" customHeight="true" outlineLevel="0" collapsed="false">
      <c r="A8" s="16" t="s">
        <v>320</v>
      </c>
      <c r="B8" s="16" t="s">
        <v>321</v>
      </c>
      <c r="C8" s="16" t="s">
        <v>322</v>
      </c>
      <c r="D8" s="16" t="s">
        <v>312</v>
      </c>
      <c r="E8" s="16" t="s">
        <v>323</v>
      </c>
      <c r="F8" s="16" t="s">
        <v>324</v>
      </c>
      <c r="G8" s="16" t="s">
        <v>325</v>
      </c>
      <c r="H8" s="16" t="s">
        <v>326</v>
      </c>
      <c r="I8" s="20" t="n">
        <v>277083</v>
      </c>
    </row>
    <row r="9" customFormat="false" ht="30" hidden="false" customHeight="true" outlineLevel="0" collapsed="false">
      <c r="A9" s="16" t="s">
        <v>327</v>
      </c>
      <c r="B9" s="16" t="s">
        <v>321</v>
      </c>
      <c r="C9" s="16" t="s">
        <v>328</v>
      </c>
      <c r="D9" s="16" t="s">
        <v>329</v>
      </c>
      <c r="E9" s="16" t="s">
        <v>330</v>
      </c>
      <c r="F9" s="16" t="s">
        <v>87</v>
      </c>
      <c r="G9" s="16" t="s">
        <v>331</v>
      </c>
      <c r="H9" s="16" t="s">
        <v>332</v>
      </c>
      <c r="I9" s="20" t="n">
        <v>54</v>
      </c>
    </row>
    <row r="10" customFormat="false" ht="30" hidden="false" customHeight="true" outlineLevel="0" collapsed="false">
      <c r="A10" s="16" t="s">
        <v>333</v>
      </c>
      <c r="B10" s="16" t="s">
        <v>321</v>
      </c>
      <c r="C10" s="16" t="s">
        <v>334</v>
      </c>
      <c r="D10" s="16" t="s">
        <v>312</v>
      </c>
      <c r="E10" s="16" t="s">
        <v>323</v>
      </c>
      <c r="F10" s="16" t="s">
        <v>87</v>
      </c>
      <c r="G10" s="16" t="s">
        <v>335</v>
      </c>
      <c r="H10" s="16" t="s">
        <v>336</v>
      </c>
      <c r="I10" s="20" t="n">
        <v>34633</v>
      </c>
    </row>
    <row r="11" customFormat="false" ht="30" hidden="false" customHeight="true" outlineLevel="0" collapsed="false">
      <c r="A11" s="16" t="s">
        <v>337</v>
      </c>
      <c r="B11" s="16" t="s">
        <v>321</v>
      </c>
      <c r="C11" s="16" t="s">
        <v>338</v>
      </c>
      <c r="D11" s="16" t="s">
        <v>312</v>
      </c>
      <c r="E11" s="16" t="s">
        <v>323</v>
      </c>
      <c r="F11" s="16" t="s">
        <v>87</v>
      </c>
      <c r="G11" s="16" t="s">
        <v>339</v>
      </c>
      <c r="H11" s="16" t="s">
        <v>340</v>
      </c>
      <c r="I11" s="20" t="n">
        <v>147490</v>
      </c>
    </row>
    <row r="12" customFormat="false" ht="51.75" hidden="false" customHeight="true" outlineLevel="0" collapsed="false">
      <c r="A12" s="16" t="s">
        <v>341</v>
      </c>
      <c r="B12" s="16" t="s">
        <v>342</v>
      </c>
      <c r="C12" s="16" t="s">
        <v>343</v>
      </c>
      <c r="D12" s="16" t="s">
        <v>344</v>
      </c>
      <c r="E12" s="16" t="s">
        <v>345</v>
      </c>
      <c r="F12" s="16" t="s">
        <v>346</v>
      </c>
      <c r="G12" s="16" t="s">
        <v>347</v>
      </c>
      <c r="H12" s="16" t="s">
        <v>348</v>
      </c>
      <c r="I12" s="20" t="n">
        <v>442262</v>
      </c>
    </row>
    <row r="13" customFormat="false" ht="64.5" hidden="false" customHeight="true" outlineLevel="0" collapsed="false">
      <c r="A13" s="16" t="s">
        <v>349</v>
      </c>
      <c r="B13" s="16" t="s">
        <v>342</v>
      </c>
      <c r="C13" s="16" t="s">
        <v>350</v>
      </c>
      <c r="D13" s="16" t="s">
        <v>344</v>
      </c>
      <c r="E13" s="16" t="s">
        <v>351</v>
      </c>
      <c r="F13" s="16" t="s">
        <v>87</v>
      </c>
      <c r="G13" s="16" t="s">
        <v>352</v>
      </c>
      <c r="H13" s="16" t="s">
        <v>284</v>
      </c>
      <c r="I13" s="20" t="n">
        <v>17145</v>
      </c>
    </row>
    <row r="14" customFormat="false" ht="78" hidden="false" customHeight="true" outlineLevel="0" collapsed="false">
      <c r="A14" s="16" t="s">
        <v>353</v>
      </c>
      <c r="B14" s="16" t="s">
        <v>342</v>
      </c>
      <c r="C14" s="16" t="s">
        <v>354</v>
      </c>
      <c r="D14" s="16" t="s">
        <v>355</v>
      </c>
      <c r="E14" s="16" t="s">
        <v>356</v>
      </c>
      <c r="F14" s="16" t="s">
        <v>87</v>
      </c>
      <c r="G14" s="16" t="s">
        <v>357</v>
      </c>
      <c r="H14" s="16" t="s">
        <v>358</v>
      </c>
      <c r="I14" s="20" t="n">
        <v>246</v>
      </c>
    </row>
    <row r="15" customFormat="false" ht="45" hidden="false" customHeight="true" outlineLevel="0" collapsed="false">
      <c r="A15" s="16" t="s">
        <v>359</v>
      </c>
      <c r="B15" s="16" t="s">
        <v>342</v>
      </c>
      <c r="C15" s="16" t="s">
        <v>343</v>
      </c>
      <c r="D15" s="16" t="s">
        <v>344</v>
      </c>
      <c r="E15" s="16" t="s">
        <v>345</v>
      </c>
      <c r="F15" s="16" t="s">
        <v>87</v>
      </c>
      <c r="G15" s="16" t="s">
        <v>360</v>
      </c>
      <c r="H15" s="16" t="s">
        <v>361</v>
      </c>
      <c r="I15" s="20" t="n">
        <v>443190</v>
      </c>
    </row>
    <row r="16" customFormat="false" ht="30" hidden="false" customHeight="true" outlineLevel="0" collapsed="false">
      <c r="A16" s="16" t="s">
        <v>362</v>
      </c>
      <c r="B16" s="16" t="s">
        <v>363</v>
      </c>
      <c r="C16" s="16" t="s">
        <v>364</v>
      </c>
      <c r="D16" s="16" t="s">
        <v>365</v>
      </c>
      <c r="E16" s="16" t="s">
        <v>87</v>
      </c>
      <c r="F16" s="16" t="s">
        <v>87</v>
      </c>
      <c r="G16" s="16" t="s">
        <v>366</v>
      </c>
      <c r="H16" s="16" t="s">
        <v>367</v>
      </c>
      <c r="I16" s="20"/>
    </row>
    <row r="17" customFormat="false" ht="39" hidden="false" customHeight="true" outlineLevel="0" collapsed="false">
      <c r="A17" s="16" t="s">
        <v>368</v>
      </c>
      <c r="B17" s="16" t="s">
        <v>369</v>
      </c>
      <c r="C17" s="16" t="s">
        <v>343</v>
      </c>
      <c r="D17" s="16" t="s">
        <v>87</v>
      </c>
      <c r="E17" s="16" t="s">
        <v>87</v>
      </c>
      <c r="F17" s="16" t="s">
        <v>87</v>
      </c>
      <c r="G17" s="16" t="s">
        <v>370</v>
      </c>
      <c r="H17" s="16" t="s">
        <v>371</v>
      </c>
      <c r="I17" s="20"/>
    </row>
    <row r="19" customFormat="false" ht="15" hidden="false" customHeight="false" outlineLevel="0" collapsed="false">
      <c r="A19" s="21" t="s">
        <v>372</v>
      </c>
      <c r="I19" s="22" t="n">
        <f aca="false">SUM(I5:I17)</f>
        <v>2193606</v>
      </c>
    </row>
    <row r="20" customFormat="false" ht="15" hidden="false" customHeight="false" outlineLevel="0" collapsed="false">
      <c r="A20" s="23"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374</v>
      </c>
    </row>
    <row r="2" customFormat="false" ht="15" hidden="false" customHeight="true" outlineLevel="0" collapsed="false">
      <c r="A2" s="3" t="s">
        <v>375</v>
      </c>
    </row>
    <row r="4" customFormat="false" ht="15" hidden="false" customHeight="true" outlineLevel="0" collapsed="false">
      <c r="A4" s="18" t="s">
        <v>376</v>
      </c>
      <c r="B4" s="18" t="s">
        <v>377</v>
      </c>
      <c r="C4" s="18" t="s">
        <v>378</v>
      </c>
      <c r="D4" s="18" t="s">
        <v>379</v>
      </c>
      <c r="E4" s="18" t="s">
        <v>380</v>
      </c>
    </row>
    <row r="5" customFormat="false" ht="94.5" hidden="false" customHeight="true" outlineLevel="0" collapsed="false">
      <c r="A5" s="15" t="s">
        <v>381</v>
      </c>
      <c r="B5" s="16" t="s">
        <v>382</v>
      </c>
      <c r="C5" s="16" t="s">
        <v>383</v>
      </c>
      <c r="D5" s="16" t="s">
        <v>384</v>
      </c>
      <c r="E5" s="16" t="s">
        <v>385</v>
      </c>
    </row>
    <row r="6" customFormat="false" ht="94.5" hidden="false" customHeight="true" outlineLevel="0" collapsed="false">
      <c r="A6" s="15" t="s">
        <v>381</v>
      </c>
      <c r="B6" s="16" t="s">
        <v>382</v>
      </c>
      <c r="C6" s="16" t="s">
        <v>386</v>
      </c>
      <c r="D6" s="16" t="s">
        <v>387</v>
      </c>
      <c r="E6" s="16" t="s">
        <v>388</v>
      </c>
    </row>
    <row r="7" customFormat="false" ht="94.5" hidden="false" customHeight="true" outlineLevel="0" collapsed="false">
      <c r="A7" s="15" t="s">
        <v>381</v>
      </c>
      <c r="B7" s="16" t="s">
        <v>382</v>
      </c>
      <c r="C7" s="16" t="s">
        <v>389</v>
      </c>
      <c r="D7" s="16" t="s">
        <v>390</v>
      </c>
      <c r="E7" s="16" t="s">
        <v>391</v>
      </c>
    </row>
    <row r="8" customFormat="false" ht="94.5" hidden="false" customHeight="true" outlineLevel="0" collapsed="false">
      <c r="A8" s="15" t="s">
        <v>392</v>
      </c>
      <c r="B8" s="16" t="s">
        <v>393</v>
      </c>
      <c r="C8" s="16" t="s">
        <v>394</v>
      </c>
      <c r="D8" s="16" t="s">
        <v>395</v>
      </c>
      <c r="E8" s="16" t="s">
        <v>396</v>
      </c>
    </row>
    <row r="9" customFormat="false" ht="94.5" hidden="false" customHeight="true" outlineLevel="0" collapsed="false">
      <c r="A9" s="15" t="s">
        <v>397</v>
      </c>
      <c r="B9" s="16" t="s">
        <v>87</v>
      </c>
      <c r="C9" s="16" t="s">
        <v>398</v>
      </c>
      <c r="D9" s="16" t="s">
        <v>399</v>
      </c>
      <c r="E9" s="16" t="s">
        <v>400</v>
      </c>
    </row>
    <row r="10" customFormat="false" ht="69.75" hidden="false" customHeight="true" outlineLevel="0" collapsed="false">
      <c r="A10" s="15" t="s">
        <v>401</v>
      </c>
      <c r="B10" s="16" t="s">
        <v>402</v>
      </c>
      <c r="C10" s="16" t="s">
        <v>403</v>
      </c>
      <c r="D10" s="16" t="s">
        <v>404</v>
      </c>
      <c r="E10" s="16" t="s">
        <v>405</v>
      </c>
    </row>
    <row r="11" customFormat="false" ht="69.75" hidden="false" customHeight="true" outlineLevel="0" collapsed="false">
      <c r="A11" s="15" t="s">
        <v>401</v>
      </c>
      <c r="B11" s="16" t="s">
        <v>402</v>
      </c>
      <c r="C11" s="16" t="s">
        <v>406</v>
      </c>
      <c r="D11" s="16" t="s">
        <v>407</v>
      </c>
      <c r="E11" s="16" t="s">
        <v>408</v>
      </c>
    </row>
    <row r="12" customFormat="false" ht="69.75" hidden="false" customHeight="true" outlineLevel="0" collapsed="false">
      <c r="A12" s="15" t="s">
        <v>401</v>
      </c>
      <c r="B12" s="16" t="s">
        <v>402</v>
      </c>
      <c r="C12" s="16" t="s">
        <v>409</v>
      </c>
      <c r="D12" s="16" t="s">
        <v>410</v>
      </c>
      <c r="E12" s="16" t="s">
        <v>411</v>
      </c>
    </row>
    <row r="13" customFormat="false" ht="69.75" hidden="false" customHeight="true" outlineLevel="0" collapsed="false">
      <c r="A13" s="15" t="s">
        <v>401</v>
      </c>
      <c r="B13" s="16" t="s">
        <v>402</v>
      </c>
      <c r="C13" s="16" t="s">
        <v>412</v>
      </c>
      <c r="D13" s="16" t="s">
        <v>413</v>
      </c>
      <c r="E13" s="16" t="s">
        <v>414</v>
      </c>
    </row>
    <row r="14" customFormat="false" ht="69.75" hidden="false" customHeight="true" outlineLevel="0" collapsed="false">
      <c r="A14" s="15" t="s">
        <v>401</v>
      </c>
      <c r="B14" s="16" t="s">
        <v>402</v>
      </c>
      <c r="C14" s="16" t="s">
        <v>415</v>
      </c>
      <c r="D14" s="16" t="s">
        <v>416</v>
      </c>
      <c r="E14" s="16" t="s">
        <v>417</v>
      </c>
    </row>
    <row r="16" customFormat="false" ht="15" hidden="false" customHeight="true" outlineLevel="0" collapsed="false">
      <c r="A16" s="24" t="s">
        <v>418</v>
      </c>
    </row>
    <row r="17" customFormat="false" ht="94.5" hidden="false" customHeight="true" outlineLevel="0" collapsed="false">
      <c r="A17" s="25" t="s">
        <v>419</v>
      </c>
      <c r="B17" s="25"/>
      <c r="C17" s="25"/>
      <c r="D17" s="25"/>
      <c r="E17" s="25"/>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420</v>
      </c>
    </row>
    <row r="2" customFormat="false" ht="15" hidden="false" customHeight="true" outlineLevel="0" collapsed="false">
      <c r="A2" s="17" t="s">
        <v>421</v>
      </c>
    </row>
    <row r="4" customFormat="false" ht="15" hidden="false" customHeight="true" outlineLevel="0" collapsed="false">
      <c r="A4" s="18" t="s">
        <v>8</v>
      </c>
      <c r="B4" s="18" t="s">
        <v>376</v>
      </c>
      <c r="C4" s="18" t="s">
        <v>377</v>
      </c>
      <c r="D4" s="18" t="s">
        <v>379</v>
      </c>
      <c r="E4" s="18" t="s">
        <v>422</v>
      </c>
    </row>
    <row r="5" customFormat="false" ht="34.5" hidden="false" customHeight="true" outlineLevel="0" collapsed="false">
      <c r="A5" s="16" t="s">
        <v>423</v>
      </c>
      <c r="B5" s="16" t="s">
        <v>424</v>
      </c>
      <c r="C5" s="16" t="s">
        <v>425</v>
      </c>
      <c r="D5" s="16" t="s">
        <v>426</v>
      </c>
      <c r="E5" s="16" t="s">
        <v>427</v>
      </c>
    </row>
    <row r="6" customFormat="false" ht="34.5" hidden="false" customHeight="true" outlineLevel="0" collapsed="false">
      <c r="A6" s="16" t="s">
        <v>423</v>
      </c>
      <c r="B6" s="16" t="s">
        <v>428</v>
      </c>
      <c r="C6" s="16" t="s">
        <v>429</v>
      </c>
      <c r="D6" s="16" t="s">
        <v>430</v>
      </c>
      <c r="E6" s="16" t="s">
        <v>431</v>
      </c>
    </row>
    <row r="7" customFormat="false" ht="23.25" hidden="false" customHeight="true" outlineLevel="0" collapsed="false">
      <c r="A7" s="16" t="s">
        <v>423</v>
      </c>
      <c r="B7" s="16" t="s">
        <v>432</v>
      </c>
      <c r="C7" s="16" t="s">
        <v>433</v>
      </c>
      <c r="D7" s="16" t="s">
        <v>434</v>
      </c>
      <c r="E7" s="16" t="s">
        <v>435</v>
      </c>
    </row>
    <row r="8" customFormat="false" ht="45.75" hidden="false" customHeight="true" outlineLevel="0" collapsed="false">
      <c r="A8" s="16" t="s">
        <v>436</v>
      </c>
      <c r="B8" s="16" t="s">
        <v>437</v>
      </c>
      <c r="C8" s="16" t="s">
        <v>438</v>
      </c>
      <c r="D8" s="16" t="s">
        <v>439</v>
      </c>
      <c r="E8" s="16" t="s">
        <v>440</v>
      </c>
    </row>
    <row r="9" customFormat="false" ht="23.25" hidden="false" customHeight="true" outlineLevel="0" collapsed="false">
      <c r="A9" s="16" t="s">
        <v>436</v>
      </c>
      <c r="B9" s="16" t="s">
        <v>441</v>
      </c>
      <c r="C9" s="16" t="s">
        <v>442</v>
      </c>
      <c r="D9" s="16" t="s">
        <v>443</v>
      </c>
      <c r="E9" s="16" t="s">
        <v>444</v>
      </c>
    </row>
    <row r="10" customFormat="false" ht="23.25" hidden="false" customHeight="true" outlineLevel="0" collapsed="false">
      <c r="A10" s="16" t="s">
        <v>436</v>
      </c>
      <c r="B10" s="16" t="s">
        <v>445</v>
      </c>
      <c r="C10" s="16" t="s">
        <v>446</v>
      </c>
      <c r="D10" s="16" t="s">
        <v>447</v>
      </c>
      <c r="E10" s="16" t="s">
        <v>448</v>
      </c>
    </row>
    <row r="11" customFormat="false" ht="45.75" hidden="false" customHeight="true" outlineLevel="0" collapsed="false">
      <c r="A11" s="16" t="s">
        <v>449</v>
      </c>
      <c r="B11" s="16" t="s">
        <v>450</v>
      </c>
      <c r="C11" s="16" t="s">
        <v>451</v>
      </c>
      <c r="D11" s="16" t="s">
        <v>452</v>
      </c>
      <c r="E11" s="16" t="s">
        <v>453</v>
      </c>
    </row>
    <row r="12" customFormat="false" ht="23.25" hidden="false" customHeight="true" outlineLevel="0" collapsed="false">
      <c r="A12" s="16" t="s">
        <v>449</v>
      </c>
      <c r="B12" s="16" t="s">
        <v>454</v>
      </c>
      <c r="C12" s="16" t="s">
        <v>455</v>
      </c>
      <c r="D12" s="16" t="s">
        <v>456</v>
      </c>
      <c r="E12" s="16" t="s">
        <v>457</v>
      </c>
    </row>
    <row r="13" customFormat="false" ht="23.25" hidden="false" customHeight="true" outlineLevel="0" collapsed="false">
      <c r="A13" s="16" t="s">
        <v>449</v>
      </c>
      <c r="B13" s="16" t="s">
        <v>458</v>
      </c>
      <c r="C13" s="16" t="s">
        <v>459</v>
      </c>
      <c r="D13" s="16" t="s">
        <v>460</v>
      </c>
      <c r="E13" s="16" t="s">
        <v>461</v>
      </c>
    </row>
    <row r="14" customFormat="false" ht="34.5" hidden="false" customHeight="true" outlineLevel="0" collapsed="false">
      <c r="A14" s="16" t="s">
        <v>462</v>
      </c>
      <c r="B14" s="16" t="s">
        <v>463</v>
      </c>
      <c r="C14" s="16" t="s">
        <v>464</v>
      </c>
      <c r="D14" s="16" t="s">
        <v>465</v>
      </c>
      <c r="E14" s="16" t="s">
        <v>466</v>
      </c>
    </row>
    <row r="15" customFormat="false" ht="34.5" hidden="false" customHeight="true" outlineLevel="0" collapsed="false">
      <c r="A15" s="16" t="s">
        <v>462</v>
      </c>
      <c r="B15" s="16" t="s">
        <v>467</v>
      </c>
      <c r="C15" s="16" t="s">
        <v>468</v>
      </c>
      <c r="D15" s="16" t="s">
        <v>469</v>
      </c>
      <c r="E15" s="16" t="s">
        <v>470</v>
      </c>
    </row>
    <row r="16" customFormat="false" ht="45.75" hidden="false" customHeight="true" outlineLevel="0" collapsed="false">
      <c r="A16" s="24" t="s">
        <v>471</v>
      </c>
      <c r="B16" s="1" t="s">
        <v>472</v>
      </c>
      <c r="C16" s="1" t="s">
        <v>473</v>
      </c>
      <c r="D16" s="1" t="s">
        <v>474</v>
      </c>
      <c r="E16" s="1" t="s">
        <v>475</v>
      </c>
    </row>
    <row r="17" customFormat="false" ht="15" hidden="false" customHeight="true" outlineLevel="0" collapsed="false">
      <c r="A17" s="1" t="s">
        <v>471</v>
      </c>
      <c r="B17" s="1" t="s">
        <v>476</v>
      </c>
      <c r="C17" s="1" t="s">
        <v>477</v>
      </c>
      <c r="D17" s="1" t="s">
        <v>478</v>
      </c>
      <c r="E17" s="1" t="s">
        <v>479</v>
      </c>
    </row>
    <row r="18" customFormat="false" ht="15" hidden="false" customHeight="true" outlineLevel="0" collapsed="false">
      <c r="A18" s="16" t="s">
        <v>480</v>
      </c>
      <c r="B18" s="16" t="s">
        <v>481</v>
      </c>
      <c r="C18" s="16" t="s">
        <v>482</v>
      </c>
      <c r="D18" s="16" t="s">
        <v>483</v>
      </c>
      <c r="E18" s="16" t="s">
        <v>484</v>
      </c>
    </row>
    <row r="19" customFormat="false" ht="15" hidden="false" customHeight="true" outlineLevel="0" collapsed="false">
      <c r="A19" s="16" t="s">
        <v>485</v>
      </c>
      <c r="B19" s="16" t="s">
        <v>486</v>
      </c>
      <c r="C19" s="16" t="s">
        <v>487</v>
      </c>
      <c r="D19" s="16" t="s">
        <v>488</v>
      </c>
      <c r="E19" s="16" t="s">
        <v>489</v>
      </c>
    </row>
    <row r="20" customFormat="false" ht="15" hidden="false" customHeight="true" outlineLevel="0" collapsed="false">
      <c r="A20" s="16" t="s">
        <v>485</v>
      </c>
      <c r="B20" s="16" t="s">
        <v>490</v>
      </c>
      <c r="C20" s="16" t="s">
        <v>491</v>
      </c>
      <c r="D20" s="16" t="s">
        <v>492</v>
      </c>
      <c r="E20" s="16" t="s">
        <v>493</v>
      </c>
    </row>
    <row r="21" customFormat="false" ht="105" hidden="false" customHeight="true" outlineLevel="0" collapsed="false">
      <c r="A21" s="16" t="s">
        <v>494</v>
      </c>
      <c r="B21" s="16" t="s">
        <v>495</v>
      </c>
      <c r="C21" s="16" t="s">
        <v>496</v>
      </c>
      <c r="D21" s="16" t="s">
        <v>497</v>
      </c>
      <c r="E21" s="16" t="s">
        <v>498</v>
      </c>
    </row>
    <row r="22" customFormat="false" ht="60" hidden="false" customHeight="true" outlineLevel="0" collapsed="false">
      <c r="A22" s="16" t="s">
        <v>494</v>
      </c>
      <c r="B22" s="16" t="s">
        <v>401</v>
      </c>
      <c r="C22" s="16" t="s">
        <v>499</v>
      </c>
      <c r="D22" s="16" t="s">
        <v>500</v>
      </c>
      <c r="E22" s="16" t="s">
        <v>501</v>
      </c>
    </row>
    <row r="23" customFormat="false" ht="15" hidden="false" customHeight="true" outlineLevel="0" collapsed="false">
      <c r="A23" s="16" t="s">
        <v>502</v>
      </c>
    </row>
    <row r="24" customFormat="false" ht="90" hidden="false" customHeight="true" outlineLevel="0" collapsed="false"/>
    <row r="25" customFormat="false" ht="15" hidden="false" customHeight="true" outlineLevel="0" collapsed="false">
      <c r="A25" s="24" t="s">
        <v>418</v>
      </c>
    </row>
    <row r="26" customFormat="false" ht="105" hidden="false" customHeight="true" outlineLevel="0" collapsed="false">
      <c r="A26" s="25" t="s">
        <v>503</v>
      </c>
      <c r="B26" s="25"/>
      <c r="C26" s="25"/>
      <c r="D26" s="25"/>
      <c r="E26" s="25"/>
    </row>
  </sheetData>
  <mergeCells count="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504</v>
      </c>
    </row>
    <row r="2" customFormat="false" ht="15" hidden="false" customHeight="true" outlineLevel="0" collapsed="false">
      <c r="A2" s="17" t="s">
        <v>505</v>
      </c>
    </row>
    <row r="4" customFormat="false" ht="30" hidden="false" customHeight="true" outlineLevel="0" collapsed="false">
      <c r="A4" s="18" t="s">
        <v>506</v>
      </c>
      <c r="B4" s="18" t="s">
        <v>507</v>
      </c>
      <c r="C4" s="18" t="s">
        <v>508</v>
      </c>
      <c r="D4" s="18" t="s">
        <v>509</v>
      </c>
      <c r="E4" s="18" t="s">
        <v>510</v>
      </c>
      <c r="F4" s="18" t="s">
        <v>511</v>
      </c>
      <c r="G4" s="18" t="s">
        <v>512</v>
      </c>
      <c r="H4" s="18" t="s">
        <v>513</v>
      </c>
      <c r="I4" s="18" t="s">
        <v>514</v>
      </c>
      <c r="J4" s="18" t="s">
        <v>14</v>
      </c>
      <c r="K4" s="18" t="s">
        <v>515</v>
      </c>
      <c r="L4" s="18" t="s">
        <v>516</v>
      </c>
    </row>
    <row r="5" customFormat="false" ht="90" hidden="false" customHeight="true" outlineLevel="0" collapsed="false">
      <c r="A5" s="16" t="s">
        <v>517</v>
      </c>
      <c r="B5" s="26" t="n">
        <v>46322</v>
      </c>
      <c r="C5" s="16" t="s">
        <v>518</v>
      </c>
      <c r="D5" s="16" t="s">
        <v>519</v>
      </c>
      <c r="E5" s="16" t="s">
        <v>520</v>
      </c>
      <c r="F5" s="16" t="s">
        <v>521</v>
      </c>
      <c r="G5" s="16" t="s">
        <v>522</v>
      </c>
      <c r="H5" s="16" t="s">
        <v>523</v>
      </c>
      <c r="I5" s="26" t="n">
        <v>46322</v>
      </c>
      <c r="J5" s="16" t="s">
        <v>524</v>
      </c>
      <c r="K5" s="16" t="s">
        <v>525</v>
      </c>
      <c r="L5" s="16" t="s">
        <v>526</v>
      </c>
    </row>
    <row r="6" customFormat="false" ht="79.5" hidden="false" customHeight="true" outlineLevel="0" collapsed="false">
      <c r="A6" s="16" t="s">
        <v>527</v>
      </c>
      <c r="B6" s="26" t="n">
        <v>46322</v>
      </c>
      <c r="C6" s="16" t="s">
        <v>528</v>
      </c>
      <c r="D6" s="16" t="s">
        <v>529</v>
      </c>
      <c r="E6" s="16" t="s">
        <v>530</v>
      </c>
      <c r="F6" s="16" t="s">
        <v>531</v>
      </c>
      <c r="G6" s="16" t="s">
        <v>532</v>
      </c>
      <c r="H6" s="16" t="s">
        <v>533</v>
      </c>
      <c r="I6" s="26" t="n">
        <v>46324</v>
      </c>
      <c r="J6" s="16" t="s">
        <v>524</v>
      </c>
      <c r="K6" s="16" t="s">
        <v>534</v>
      </c>
      <c r="L6" s="16" t="s">
        <v>535</v>
      </c>
    </row>
    <row r="7" customFormat="false" ht="79.5" hidden="false" customHeight="true" outlineLevel="0" collapsed="false">
      <c r="A7" s="16" t="s">
        <v>536</v>
      </c>
      <c r="B7" s="26" t="n">
        <v>46321</v>
      </c>
      <c r="C7" s="16" t="s">
        <v>537</v>
      </c>
      <c r="D7" s="16" t="s">
        <v>538</v>
      </c>
      <c r="E7" s="16" t="s">
        <v>539</v>
      </c>
      <c r="F7" s="16" t="s">
        <v>540</v>
      </c>
      <c r="G7" s="16" t="s">
        <v>541</v>
      </c>
      <c r="H7" s="16" t="s">
        <v>542</v>
      </c>
      <c r="I7" s="26"/>
      <c r="J7" s="16" t="s">
        <v>543</v>
      </c>
      <c r="K7" s="16" t="s">
        <v>544</v>
      </c>
      <c r="L7" s="16" t="s">
        <v>545</v>
      </c>
    </row>
    <row r="8" customFormat="false" ht="79.5" hidden="false" customHeight="true" outlineLevel="0" collapsed="false">
      <c r="A8" s="16" t="s">
        <v>546</v>
      </c>
      <c r="B8" s="26" t="n">
        <v>46321</v>
      </c>
      <c r="C8" s="16" t="s">
        <v>547</v>
      </c>
      <c r="D8" s="16" t="s">
        <v>548</v>
      </c>
      <c r="E8" s="16" t="s">
        <v>549</v>
      </c>
      <c r="F8" s="16" t="s">
        <v>550</v>
      </c>
      <c r="G8" s="16" t="s">
        <v>551</v>
      </c>
      <c r="H8" s="16" t="s">
        <v>552</v>
      </c>
      <c r="I8" s="26" t="n">
        <v>46321</v>
      </c>
      <c r="J8" s="16" t="s">
        <v>524</v>
      </c>
      <c r="K8" s="16" t="s">
        <v>553</v>
      </c>
      <c r="L8" s="16" t="s">
        <v>554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2026-10-29T13:23:02Z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