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 name="Journal des incident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<sst xmlns="http://schemas.openxmlformats.org/spreadsheetml/2006/main" count="348" uniqueCount="230">
  <si>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</si>
  <si>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</si>
  <si>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</si>
  <si>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</si>
  <si>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</si>
  <si>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</si>
  <si>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</si>
  <si>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</si>
  <si>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</si>
  <si>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</si>
  <si>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</si>
  <si>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</si>
  <si>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</si>
  <si>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</si>
  <si>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</si>
  <si>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</si>
  <si>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</si>
  <si>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</si>
  <si>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</si>
  <si>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</si>
  <si>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</si>
  <si>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</si>
  <si>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</si>
  <si>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</si>
  <si>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</si>
  <si>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</si>
  <si>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</si>
  <si>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À faire</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</si>
  <si>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</si>
  <si>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</si>
  <si>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</si>
  <si>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</si>
  <si>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</si>
  <si>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</si>
  <si>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</si>
  <si>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</si>
  <si>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Bz (IMF)</t>
  </si>
  <si>
    <t xml:space="preserve">Composante nord-sud du champ magnétique interplanétaire ; négatif = énergie qui entre dans la magnétosphère</t>
  </si>
  <si>
    <t xml:space="preserve">nT</t>
  </si>
  <si>
    <t xml:space="preserve">Minute</t>
  </si>
  <si>
    <t xml:space="preserve">1 fois par heure : moyenne et minimum</t>
  </si>
  <si>
    <t xml:space="preserve">NOAA SWPC (JSON temps réel RTSW, /json/rtsw/rtsw_mag_1m.json)</t>
  </si>
  <si>
    <t xml:space="preserve">Court terme (30 à 60 min)</t>
  </si>
  <si>
    <t xml:space="preserve">Meilleur indicateur d'une aurore imminente</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</si>
  <si>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</si>
  <si>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</si>
  <si>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</si>
  <si>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</si>
  <si>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</si>
  <si>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</si>
  <si>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</si>
  <si>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</si>
  <si>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</si>
  <si>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</si>
  <si>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</si>
  <si>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</si>
  <si>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</si>
  <si>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</si>
  <si>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</si>
  <si>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</si>
  <si>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</si>
  <si>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</si>
  <si>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</si>
  <si>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</si>
  <si>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</si>
  <si>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</si>
  <si>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</si>
  <si>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</si>
  <si>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</si>
  <si>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1 fois par heure</t>
  </si>
  <si>
    <t xml:space="preserve">NOAA SWPC (JSON, noaa-scales)</t>
  </si>
  <si>
    <t xml:space="preserve">Étiquette lisible pour les agences et les alertes</t>
  </si>
  <si>
    <t xml:space="preserve">Alertes et avertissements</t>
  </si>
  <si>
    <t xml:space="preserve">Alertes, veilles et avertissements émis par NOAA (ex : Kp 5 attendu)</t>
  </si>
  <si>
    <t xml:space="preserve">Texte</t>
  </si>
  <si>
    <t xml:space="preserve">Événementielle</t>
  </si>
  <si>
    <t xml:space="preserve">Toutes les heures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</si>
  <si>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</si>
  <si>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</si>
  <si>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</si>
  <si>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</si>
  <si>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</si>
  <si>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</si>
  <si>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</si>
  <si>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</si>
  <si>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</si>
  <si>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</si>
  <si>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</si>
  <si>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</si>
  <si>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</si>
  <si>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</si>
  <si>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</si>
  <si>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</si>
  <si>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</si>
  <si>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</si>
  <si>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</si>
  <si>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</si>
  <si>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</si>
  <si>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</si>
  <si>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</si>
  <si>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</si>
  <si>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</si>
  <si>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</si>
  <si>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</si>
  <si>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</si>
  <si>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</si>
  <si>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Open-Meteo (CSV / API archive) ; Frost MET Norway en complément</t>
  </si>
  <si>
    <t xml:space="preserve">API / CSV</t>
  </si>
  <si>
    <t xml:space="preserve">Un ciel couvert empêche de voir l'aurore</t>
  </si>
  <si>
    <t xml:space="preserve">Open-Meteo : CC BY 4.0, non commercial ; Frost : NLOD 2.0 / CC 4.0</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</si>
  <si>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</si>
  <si>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</si>
  <si>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</si>
  <si>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</si>
  <si>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</si>
  <si>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</si>
  <si>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</si>
  <si>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</si>
  <si>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</si>
  <si>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</si>
  <si>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</si>
  <si>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</si>
  <si>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</si>
  <si>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</si>
  <si>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</si>
  <si>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</si>
  <si>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</si>
  <si>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</si>
  <si>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</si>
  <si>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</si>
  <si>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</si>
  <si>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</si>
  <si>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</si>
  <si>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</si>
  <si>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</si>
  <si>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</si>
  <si>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</si>
  <si>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</si>
  <si>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</si>
  <si>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</si>
  <si>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Synthèse des variables</t>
  </si>
  <si>
    <t xml:space="preserve">Nombre de variables</t>
  </si>
  <si>
    <t xml:space="preserve">Total</t>
  </si>
  <si>
    <t xml:space="preserve">Variables à collecter via</t>
  </si>
  <si>
    <t xml:space="preserve">Scraping</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</si>
  <si>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</si>
  <si>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</si>
  <si>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</si>
  <si>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</si>
  <si>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</si>
  <si>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</si>
  <si>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</si>
  <si>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</si>
  <si>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jours. Prévoir un backfill (GFZ, OMNIWeb, Open-Meteo archive) puis une collecte continue.</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</si>
  <si>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</si>
  <si>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</si>
  <si>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</si>
  <si>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</si>
  <si>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</si>
  <si>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</si>
  <si>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</si>
  <si>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</si>
  <si>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</si>
  <si>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</si>
  <si>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</si>
  <si>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</si>
  <si>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</si>
  <si>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</si>
  <si>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</si>
  <si>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</si>
  <si>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</si>
  <si>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</si>
  <si>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</si>
  <si>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</si>
  <si>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</si>
  <si>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</si>
  <si>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</si>
  <si>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</si>
  <si>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</si>
  <si>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</si>
  <si>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</si>
  <si>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</si>
  <si>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</si>
  <si>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</si>
  <si>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</si>
  <si>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</si>
  <si>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</si>
  <si>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</si>
  <si>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</si>
  <si>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</si>
  <si>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</si>
  <si>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</si>
  <si>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</si>
  <si>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</si>
  <si>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</si>
  <si>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</si>
  <si>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</si>
  <si>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</si>
  <si>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</si>
  <si>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</si>
  <si>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</si>
  <si>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</si>
  <si>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</si>
  <si>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</si>
  <si>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</si>
  <si>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</si>
  <si>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</si>
  <si>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</si>
  <si>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</si>
  <si>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</si>
  <si>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</si>
  <si>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</si>
  <si>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</si>
  <si>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</si>
  <si>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</si>
  <si>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</si>
  <si>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</si>
  <si>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</si>
  <si>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</si>
  <si>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</si>
  <si>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</si>
  <si>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</si>
  <si>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</si>
  <si>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</si>
  <si>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</si>
  <si>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</si>
  <si>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</si>
  <si>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Résolu</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</si>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</sst>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sz val="9"/>
      <color rgb="FF595959"/>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27</v>
      </c>
    </row>
    <row r="7" customFormat="false" ht="34.5" hidden="false" customHeight="true" outlineLevel="0" collapsed="false">
      <c r="A7" s="5" t="s">
        <v>36</v>
      </c>
      <c r="B7" s="6" t="s">
        <v>16</v>
      </c>
      <c r="C7" s="6" t="s">
        <v>37</v>
      </c>
      <c r="D7" s="7" t="s">
        <v>38</v>
      </c>
      <c r="E7" s="6" t="s">
        <v>39</v>
      </c>
      <c r="F7" s="6" t="s">
        <v>40</v>
      </c>
      <c r="G7" s="6" t="s">
        <v>41</v>
      </c>
      <c r="H7" s="6" t="s">
        <v>22</v>
      </c>
      <c r="I7" s="7" t="s">
        <v>42</v>
      </c>
      <c r="J7" s="7" t="s">
        <v>24</v>
      </c>
      <c r="K7" s="6" t="s">
        <v>43</v>
      </c>
      <c r="L7" s="6" t="s">
        <v>35</v>
      </c>
      <c r="M7" s="7" t="s">
        <v>27</v>
      </c>
    </row>
    <row r="8" customFormat="false" ht="15" hidden="false" customHeight="true" outlineLevel="0" collapsed="false">
      <c r="A8" s="5" t="s">
        <v>44</v>
      </c>
      <c r="B8" s="6" t="s">
        <v>16</v>
      </c>
      <c r="C8" s="6" t="s">
        <v>45</v>
      </c>
      <c r="D8" s="7" t="s">
        <v>38</v>
      </c>
      <c r="E8" s="6" t="s">
        <v>39</v>
      </c>
      <c r="F8" s="6" t="s">
        <v>46</v>
      </c>
      <c r="G8" s="6" t="s">
        <v>41</v>
      </c>
      <c r="H8" s="6" t="s">
        <v>22</v>
      </c>
      <c r="I8" s="7" t="s">
        <v>47</v>
      </c>
      <c r="J8" s="7" t="s">
        <v>48</v>
      </c>
      <c r="K8" s="6" t="s">
        <v>49</v>
      </c>
      <c r="L8" s="6" t="s">
        <v>35</v>
      </c>
      <c r="M8" s="7" t="s">
        <v>27</v>
      </c>
    </row>
    <row r="9" customFormat="false" ht="23.25" hidden="false" customHeight="true" outlineLevel="0" collapsed="false">
      <c r="A9" s="5" t="s">
        <v>50</v>
      </c>
      <c r="B9" s="6" t="s">
        <v>16</v>
      </c>
      <c r="C9" s="6" t="s">
        <v>51</v>
      </c>
      <c r="D9" s="7" t="s">
        <v>52</v>
      </c>
      <c r="E9" s="6" t="s">
        <v>39</v>
      </c>
      <c r="F9" s="6" t="s">
        <v>53</v>
      </c>
      <c r="G9" s="6" t="s">
        <v>41</v>
      </c>
      <c r="H9" s="6" t="s">
        <v>22</v>
      </c>
      <c r="I9" s="7" t="s">
        <v>47</v>
      </c>
      <c r="J9" s="7" t="s">
        <v>54</v>
      </c>
      <c r="K9" s="6" t="s">
        <v>55</v>
      </c>
      <c r="L9" s="6" t="s">
        <v>35</v>
      </c>
      <c r="M9" s="7" t="s">
        <v>27</v>
      </c>
    </row>
    <row r="10" customFormat="false" ht="23.25" hidden="false" customHeight="true" outlineLevel="0" collapsed="false">
      <c r="A10" s="5" t="s">
        <v>56</v>
      </c>
      <c r="B10" s="6" t="s">
        <v>16</v>
      </c>
      <c r="C10" s="6" t="s">
        <v>57</v>
      </c>
      <c r="D10" s="7" t="s">
        <v>58</v>
      </c>
      <c r="E10" s="6" t="s">
        <v>39</v>
      </c>
      <c r="F10" s="6" t="s">
        <v>59</v>
      </c>
      <c r="G10" s="6" t="s">
        <v>60</v>
      </c>
      <c r="H10" s="6" t="s">
        <v>22</v>
      </c>
      <c r="I10" s="7" t="s">
        <v>47</v>
      </c>
      <c r="J10" s="7" t="s">
        <v>24</v>
      </c>
      <c r="K10" s="6" t="s">
        <v>61</v>
      </c>
      <c r="L10" s="6" t="s">
        <v>35</v>
      </c>
      <c r="M10" s="7" t="s">
        <v>27</v>
      </c>
    </row>
    <row r="11" customFormat="false" ht="15" hidden="false" customHeight="true" outlineLevel="0" collapsed="false">
      <c r="A11" s="5" t="s">
        <v>62</v>
      </c>
      <c r="B11" s="6" t="s">
        <v>16</v>
      </c>
      <c r="C11" s="6" t="s">
        <v>63</v>
      </c>
      <c r="D11" s="7" t="s">
        <v>64</v>
      </c>
      <c r="E11" s="6" t="s">
        <v>39</v>
      </c>
      <c r="F11" s="6" t="s">
        <v>46</v>
      </c>
      <c r="G11" s="6" t="s">
        <v>60</v>
      </c>
      <c r="H11" s="6" t="s">
        <v>22</v>
      </c>
      <c r="I11" s="7" t="s">
        <v>47</v>
      </c>
      <c r="J11" s="7" t="s">
        <v>24</v>
      </c>
      <c r="K11" s="6" t="s">
        <v>65</v>
      </c>
      <c r="L11" s="6" t="s">
        <v>35</v>
      </c>
      <c r="M11" s="7" t="s">
        <v>27</v>
      </c>
    </row>
    <row r="12" customFormat="false" ht="15" hidden="false" customHeight="true" outlineLevel="0" collapsed="false">
      <c r="A12" s="5" t="s">
        <v>66</v>
      </c>
      <c r="B12" s="6" t="s">
        <v>16</v>
      </c>
      <c r="C12" s="6" t="s">
        <v>67</v>
      </c>
      <c r="D12" s="7" t="s">
        <v>68</v>
      </c>
      <c r="E12" s="6" t="s">
        <v>2</v>
      </c>
      <c r="F12" s="6" t="s">
        <v>69</v>
      </c>
      <c r="G12" s="6" t="s">
        <v>70</v>
      </c>
      <c r="H12" s="6" t="s">
        <v>22</v>
      </c>
      <c r="I12" s="7" t="s">
        <v>23</v>
      </c>
      <c r="J12" s="7" t="s">
        <v>48</v>
      </c>
      <c r="K12" s="6" t="s">
        <v>71</v>
      </c>
      <c r="L12" s="6" t="s">
        <v>35</v>
      </c>
      <c r="M12" s="7" t="s">
        <v>27</v>
      </c>
    </row>
    <row r="13" customFormat="false" ht="23.25" hidden="false" customHeight="true" outlineLevel="0" collapsed="false">
      <c r="A13" s="5" t="s">
        <v>72</v>
      </c>
      <c r="B13" s="6" t="s">
        <v>16</v>
      </c>
      <c r="C13" s="6" t="s">
        <v>73</v>
      </c>
      <c r="D13" s="7" t="s">
        <v>74</v>
      </c>
      <c r="E13" s="6" t="s">
        <v>75</v>
      </c>
      <c r="F13" s="6" t="s">
        <v>76</v>
      </c>
      <c r="G13" s="6" t="s">
        <v>77</v>
      </c>
      <c r="H13" s="6" t="s">
        <v>22</v>
      </c>
      <c r="I13" s="7" t="s">
        <v>47</v>
      </c>
      <c r="J13" s="7" t="s">
        <v>48</v>
      </c>
      <c r="K13" s="6" t="s">
        <v>78</v>
      </c>
      <c r="L13" s="6" t="s">
        <v>35</v>
      </c>
      <c r="M13" s="7" t="s">
        <v>27</v>
      </c>
    </row>
    <row r="14" customFormat="false" ht="23.25" hidden="false" customHeight="true" outlineLevel="0" collapsed="false">
      <c r="A14" s="5" t="s">
        <v>79</v>
      </c>
      <c r="B14" s="6" t="s">
        <v>16</v>
      </c>
      <c r="C14" s="6" t="s">
        <v>80</v>
      </c>
      <c r="D14" s="7" t="s">
        <v>38</v>
      </c>
      <c r="E14" s="6" t="s">
        <v>2</v>
      </c>
      <c r="F14" s="6" t="s">
        <v>81</v>
      </c>
      <c r="G14" s="6" t="s">
        <v>82</v>
      </c>
      <c r="H14" s="6" t="s">
        <v>83</v>
      </c>
      <c r="I14" s="7" t="s">
        <v>83</v>
      </c>
      <c r="J14" s="7" t="s">
        <v>84</v>
      </c>
      <c r="K14" s="6" t="s">
        <v>85</v>
      </c>
      <c r="L14" s="6" t="s">
        <v>83</v>
      </c>
      <c r="M14" s="7" t="s">
        <v>27</v>
      </c>
    </row>
    <row r="15" customFormat="false" ht="23.25" hidden="false" customHeight="true" outlineLevel="0" collapsed="false">
      <c r="A15" s="5" t="s">
        <v>86</v>
      </c>
      <c r="B15" s="6" t="s">
        <v>87</v>
      </c>
      <c r="C15" s="6" t="s">
        <v>88</v>
      </c>
      <c r="D15" s="7" t="s">
        <v>89</v>
      </c>
      <c r="E15" s="6" t="s">
        <v>90</v>
      </c>
      <c r="F15" s="6" t="s">
        <v>91</v>
      </c>
      <c r="G15" s="6" t="s">
        <v>92</v>
      </c>
      <c r="H15" s="6" t="s">
        <v>93</v>
      </c>
      <c r="I15" s="7" t="s">
        <v>83</v>
      </c>
      <c r="J15" s="7" t="s">
        <v>48</v>
      </c>
      <c r="K15" s="6" t="s">
        <v>94</v>
      </c>
      <c r="L15" s="6" t="s">
        <v>95</v>
      </c>
      <c r="M15" s="7" t="s">
        <v>27</v>
      </c>
    </row>
    <row r="16" customFormat="false" ht="15" hidden="false" customHeight="true" outlineLevel="0" collapsed="false">
      <c r="A16" s="5" t="s">
        <v>96</v>
      </c>
      <c r="B16" s="6" t="s">
        <v>87</v>
      </c>
      <c r="C16" s="6" t="s">
        <v>97</v>
      </c>
      <c r="D16" s="7" t="s">
        <v>98</v>
      </c>
      <c r="E16" s="6" t="s">
        <v>90</v>
      </c>
      <c r="F16" s="6" t="s">
        <v>91</v>
      </c>
      <c r="G16" s="6" t="s">
        <v>92</v>
      </c>
      <c r="H16" s="6" t="s">
        <v>93</v>
      </c>
      <c r="I16" s="7" t="s">
        <v>83</v>
      </c>
      <c r="J16" s="7" t="s">
        <v>24</v>
      </c>
      <c r="K16" s="6" t="s">
        <v>99</v>
      </c>
      <c r="L16" s="6" t="s">
        <v>95</v>
      </c>
      <c r="M16" s="7" t="s">
        <v>27</v>
      </c>
    </row>
    <row r="17" customFormat="false" ht="23.25" hidden="false" customHeight="true" outlineLevel="0" collapsed="false">
      <c r="A17" s="5" t="s">
        <v>100</v>
      </c>
      <c r="B17" s="6" t="s">
        <v>101</v>
      </c>
      <c r="C17" s="6" t="s">
        <v>102</v>
      </c>
      <c r="D17" s="7" t="s">
        <v>103</v>
      </c>
      <c r="E17" s="6" t="s">
        <v>104</v>
      </c>
      <c r="F17" s="6" t="s">
        <v>105</v>
      </c>
      <c r="G17" s="6" t="s">
        <v>106</v>
      </c>
      <c r="H17" s="6" t="s">
        <v>107</v>
      </c>
      <c r="I17" s="7" t="s">
        <v>23</v>
      </c>
      <c r="J17" s="7" t="s">
        <v>24</v>
      </c>
      <c r="K17" s="6" t="s">
        <v>108</v>
      </c>
      <c r="L17" s="6" t="s">
        <v>109</v>
      </c>
      <c r="M17" s="7" t="s">
        <v>27</v>
      </c>
    </row>
    <row r="18" customFormat="false" ht="23.25" hidden="false" customHeight="true" outlineLevel="0" collapsed="false">
      <c r="A18" s="5" t="s">
        <v>110</v>
      </c>
      <c r="B18" s="6" t="s">
        <v>111</v>
      </c>
      <c r="C18" s="6" t="s">
        <v>112</v>
      </c>
      <c r="D18" s="7" t="s">
        <v>113</v>
      </c>
      <c r="E18" s="6" t="s">
        <v>114</v>
      </c>
      <c r="F18" s="6" t="s">
        <v>115</v>
      </c>
      <c r="G18" s="6" t="s">
        <v>116</v>
      </c>
      <c r="H18" s="6" t="s">
        <v>117</v>
      </c>
      <c r="I18" s="7" t="s">
        <v>33</v>
      </c>
      <c r="J18" s="7" t="s">
        <v>48</v>
      </c>
      <c r="K18" s="6" t="s">
        <v>118</v>
      </c>
      <c r="L18" s="6" t="s">
        <v>119</v>
      </c>
      <c r="M18" s="7" t="s">
        <v>27</v>
      </c>
    </row>
    <row r="19" customFormat="false" ht="23.25" hidden="false" customHeight="true" outlineLevel="0" collapsed="false">
      <c r="A19" s="5" t="s">
        <v>120</v>
      </c>
      <c r="B19" s="6" t="s">
        <v>111</v>
      </c>
      <c r="C19" s="6" t="s">
        <v>121</v>
      </c>
      <c r="D19" s="7" t="s">
        <v>122</v>
      </c>
      <c r="E19" s="6" t="s">
        <v>39</v>
      </c>
      <c r="F19" s="6" t="s">
        <v>76</v>
      </c>
      <c r="G19" s="6" t="s">
        <v>123</v>
      </c>
      <c r="H19" s="6" t="s">
        <v>117</v>
      </c>
      <c r="I19" s="7" t="s">
        <v>47</v>
      </c>
      <c r="J19" s="7" t="s">
        <v>48</v>
      </c>
      <c r="K19" s="6" t="s">
        <v>124</v>
      </c>
      <c r="L19" s="6" t="s">
        <v>35</v>
      </c>
      <c r="M19" s="7" t="s">
        <v>27</v>
      </c>
    </row>
    <row r="20" customFormat="false" ht="23.25" hidden="false" customHeight="true" outlineLevel="0" collapsed="false">
      <c r="A20" s="5" t="s">
        <v>125</v>
      </c>
      <c r="B20" s="6" t="s">
        <v>111</v>
      </c>
      <c r="C20" s="6" t="s">
        <v>126</v>
      </c>
      <c r="D20" s="7" t="s">
        <v>127</v>
      </c>
      <c r="E20" s="6" t="s">
        <v>39</v>
      </c>
      <c r="F20" s="6" t="s">
        <v>128</v>
      </c>
      <c r="G20" s="6" t="s">
        <v>129</v>
      </c>
      <c r="H20" s="6" t="s">
        <v>117</v>
      </c>
      <c r="I20" s="7" t="s">
        <v>47</v>
      </c>
      <c r="J20" s="7" t="s">
        <v>54</v>
      </c>
      <c r="K20" s="6" t="s">
        <v>130</v>
      </c>
      <c r="L20" s="6" t="s">
        <v>131</v>
      </c>
      <c r="M20" s="7" t="s">
        <v>27</v>
      </c>
    </row>
    <row r="21" customFormat="false" ht="23.25" hidden="false" customHeight="true" outlineLevel="0" collapsed="false">
      <c r="A21" s="5" t="s">
        <v>132</v>
      </c>
      <c r="B21" s="6" t="s">
        <v>111</v>
      </c>
      <c r="C21" s="6" t="s">
        <v>133</v>
      </c>
      <c r="D21" s="7" t="s">
        <v>74</v>
      </c>
      <c r="E21" s="6" t="s">
        <v>134</v>
      </c>
      <c r="F21" s="6" t="s">
        <v>135</v>
      </c>
      <c r="G21" s="6" t="s">
        <v>136</v>
      </c>
      <c r="H21" s="6" t="s">
        <v>137</v>
      </c>
      <c r="I21" s="7" t="s">
        <v>138</v>
      </c>
      <c r="J21" s="7" t="s">
        <v>48</v>
      </c>
      <c r="K21" s="6" t="s">
        <v>139</v>
      </c>
      <c r="L21" s="6" t="s">
        <v>35</v>
      </c>
      <c r="M21" s="7" t="s">
        <v>27</v>
      </c>
    </row>
  </sheetData>
  <conditionalFormatting sqref="J5:J21">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1">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1" type="list">
      <formula1>"À faire,En cours,Terminé"</formula1>
      <formula2>0</formula2>
    </dataValidation>
    <dataValidation allowBlank="false" errorStyle="stop" operator="between" showDropDown="false" showErrorMessage="false" showInputMessage="false" sqref="J5:J21"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140</v>
      </c>
    </row>
    <row r="3" customFormat="false" ht="15" hidden="false" customHeight="true" outlineLevel="0" collapsed="false">
      <c r="A3" s="8" t="s">
        <v>11</v>
      </c>
      <c r="B3" s="8" t="s">
        <v>141</v>
      </c>
    </row>
    <row r="4" customFormat="false" ht="15" hidden="false" customHeight="true" outlineLevel="0" collapsed="false">
      <c r="A4" s="9" t="s">
        <v>24</v>
      </c>
      <c r="B4" s="10" t="n">
        <f aca="false">COUNTIF('Dictionnaire de données'!$J$5:$J$21,A4)</f>
        <v>7</v>
      </c>
    </row>
    <row r="5" customFormat="false" ht="15" hidden="false" customHeight="true" outlineLevel="0" collapsed="false">
      <c r="A5" s="9" t="s">
        <v>48</v>
      </c>
      <c r="B5" s="10" t="n">
        <f aca="false">COUNTIF('Dictionnaire de données'!$J$5:$J$21,A5)</f>
        <v>7</v>
      </c>
    </row>
    <row r="6" customFormat="false" ht="15" hidden="false" customHeight="true" outlineLevel="0" collapsed="false">
      <c r="A6" s="9" t="s">
        <v>54</v>
      </c>
      <c r="B6" s="10" t="n">
        <f aca="false">COUNTIF('Dictionnaire de données'!$J$5:$J$21,A6)</f>
        <v>2</v>
      </c>
    </row>
    <row r="7" customFormat="false" ht="15" hidden="false" customHeight="true" outlineLevel="0" collapsed="false">
      <c r="A7" s="9" t="s">
        <v>84</v>
      </c>
      <c r="B7" s="10" t="n">
        <f aca="false">COUNTIF('Dictionnaire de données'!$J$5:$J$21,A7)</f>
        <v>1</v>
      </c>
    </row>
    <row r="8" customFormat="false" ht="15" hidden="false" customHeight="true" outlineLevel="0" collapsed="false">
      <c r="A8" s="11" t="s">
        <v>142</v>
      </c>
      <c r="B8" s="12" t="n">
        <f aca="false">SUM(B4:B7)</f>
        <v>17</v>
      </c>
    </row>
    <row r="10" customFormat="false" ht="15" hidden="false" customHeight="true" outlineLevel="0" collapsed="false">
      <c r="A10" s="13" t="s">
        <v>143</v>
      </c>
    </row>
    <row r="11" customFormat="false" ht="15" hidden="false" customHeight="true" outlineLevel="0" collapsed="false">
      <c r="A11" s="9" t="s">
        <v>22</v>
      </c>
      <c r="B11" s="10" t="n">
        <f aca="false">COUNTIF('Dictionnaire de données'!$H$5:$H$21,"*"&amp;A11&amp;"*")</f>
        <v>14</v>
      </c>
    </row>
    <row r="12" customFormat="false" ht="15" hidden="false" customHeight="true" outlineLevel="0" collapsed="false">
      <c r="A12" s="9" t="s">
        <v>144</v>
      </c>
      <c r="B12" s="10" t="n">
        <f aca="false">COUNTIF('Dictionnaire de données'!$H$5:$H$21,"*"&amp;A12&amp;"*")</f>
        <v>5</v>
      </c>
    </row>
    <row r="13" customFormat="false" ht="15" hidden="false" customHeight="true" outlineLevel="0" collapsed="false">
      <c r="A13" s="9" t="s">
        <v>93</v>
      </c>
      <c r="B13" s="10" t="n">
        <f aca="false">COUNTIF('Dictionnaire de données'!$H$5:$H$21,"*"&amp;A13&amp;"*")</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145</v>
      </c>
    </row>
    <row r="3" customFormat="false" ht="15" hidden="false" customHeight="true" outlineLevel="0" collapsed="false">
      <c r="A3" s="14" t="s">
        <v>146</v>
      </c>
      <c r="B3" s="14" t="s">
        <v>147</v>
      </c>
    </row>
    <row r="4" customFormat="false" ht="23.25" hidden="false" customHeight="true" outlineLevel="0" collapsed="false">
      <c r="A4" s="15" t="s">
        <v>148</v>
      </c>
      <c r="B4" s="16" t="s">
        <v>149</v>
      </c>
    </row>
    <row r="5" customFormat="false" ht="15" hidden="false" customHeight="true" outlineLevel="0" collapsed="false">
      <c r="A5" s="15" t="s">
        <v>150</v>
      </c>
      <c r="B5" s="16" t="s">
        <v>151</v>
      </c>
    </row>
    <row r="6" customFormat="false" ht="23.25" hidden="false" customHeight="true" outlineLevel="0" collapsed="false">
      <c r="A6" s="15" t="s">
        <v>152</v>
      </c>
      <c r="B6" s="16" t="s">
        <v>153</v>
      </c>
    </row>
    <row r="7" customFormat="false" ht="15" hidden="false" customHeight="true" outlineLevel="0" collapsed="false">
      <c r="A7" s="15" t="s">
        <v>154</v>
      </c>
      <c r="B7" s="16" t="s">
        <v>155</v>
      </c>
    </row>
    <row r="8" customFormat="false" ht="15" hidden="false" customHeight="true" outlineLevel="0" collapsed="false">
      <c r="A8" s="15" t="s">
        <v>156</v>
      </c>
      <c r="B8" s="16" t="s">
        <v>157</v>
      </c>
    </row>
    <row r="9" customFormat="false" ht="23.25" hidden="false" customHeight="true" outlineLevel="0" collapsed="false">
      <c r="A9" s="15" t="s">
        <v>158</v>
      </c>
      <c r="B9" s="16" t="s">
        <v>159</v>
      </c>
    </row>
    <row r="10" customFormat="false" ht="15" hidden="false" customHeight="true" outlineLevel="0" collapsed="false">
      <c r="A10" s="15" t="s">
        <v>131</v>
      </c>
      <c r="B10" s="16"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161</v>
      </c>
    </row>
    <row r="2" customFormat="false" ht="15" hidden="false" customHeight="true" outlineLevel="0" collapsed="false">
      <c r="A2" s="3" t="s">
        <v>162</v>
      </c>
    </row>
    <row r="4" customFormat="false" ht="15" hidden="false" customHeight="true" outlineLevel="0" collapsed="false">
      <c r="A4" s="17" t="s">
        <v>163</v>
      </c>
      <c r="B4" s="17" t="s">
        <v>164</v>
      </c>
      <c r="C4" s="17" t="s">
        <v>165</v>
      </c>
      <c r="D4" s="17" t="s">
        <v>166</v>
      </c>
      <c r="E4" s="17" t="s">
        <v>167</v>
      </c>
    </row>
    <row r="5" customFormat="false" ht="94.5" hidden="false" customHeight="true" outlineLevel="0" collapsed="false">
      <c r="A5" s="15" t="s">
        <v>168</v>
      </c>
      <c r="B5" s="16" t="s">
        <v>169</v>
      </c>
      <c r="C5" s="16" t="s">
        <v>170</v>
      </c>
      <c r="D5" s="16" t="s">
        <v>171</v>
      </c>
      <c r="E5" s="16" t="s">
        <v>172</v>
      </c>
    </row>
    <row r="6" customFormat="false" ht="94.5" hidden="false" customHeight="true" outlineLevel="0" collapsed="false">
      <c r="A6" s="15" t="s">
        <v>168</v>
      </c>
      <c r="B6" s="16" t="s">
        <v>169</v>
      </c>
      <c r="C6" s="16" t="s">
        <v>173</v>
      </c>
      <c r="D6" s="16" t="s">
        <v>174</v>
      </c>
      <c r="E6" s="16" t="s">
        <v>175</v>
      </c>
    </row>
    <row r="7" customFormat="false" ht="94.5" hidden="false" customHeight="true" outlineLevel="0" collapsed="false">
      <c r="A7" s="15" t="s">
        <v>168</v>
      </c>
      <c r="B7" s="16" t="s">
        <v>169</v>
      </c>
      <c r="C7" s="16" t="s">
        <v>176</v>
      </c>
      <c r="D7" s="16" t="s">
        <v>177</v>
      </c>
      <c r="E7" s="16" t="s">
        <v>178</v>
      </c>
    </row>
    <row r="8" customFormat="false" ht="94.5" hidden="false" customHeight="true" outlineLevel="0" collapsed="false">
      <c r="A8" s="15" t="s">
        <v>179</v>
      </c>
      <c r="B8" s="16" t="s">
        <v>180</v>
      </c>
      <c r="C8" s="16" t="s">
        <v>181</v>
      </c>
      <c r="D8" s="16" t="s">
        <v>182</v>
      </c>
      <c r="E8" s="16" t="s">
        <v>183</v>
      </c>
    </row>
    <row r="9" customFormat="false" ht="94.5" hidden="false" customHeight="true" outlineLevel="0" collapsed="false">
      <c r="A9" s="15" t="s">
        <v>184</v>
      </c>
      <c r="B9" s="16" t="s">
        <v>83</v>
      </c>
      <c r="C9" s="16" t="s">
        <v>185</v>
      </c>
      <c r="D9" s="16" t="s">
        <v>186</v>
      </c>
      <c r="E9" s="16" t="s">
        <v>187</v>
      </c>
    </row>
    <row r="10" customFormat="false" ht="69.75" hidden="false" customHeight="true" outlineLevel="0" collapsed="false">
      <c r="A10" s="15" t="s">
        <v>188</v>
      </c>
      <c r="B10" s="16" t="s">
        <v>189</v>
      </c>
      <c r="C10" s="16" t="s">
        <v>190</v>
      </c>
      <c r="D10" s="16" t="s">
        <v>191</v>
      </c>
      <c r="E10" s="16" t="s">
        <v>192</v>
      </c>
    </row>
    <row r="11" customFormat="false" ht="69.75" hidden="false" customHeight="true" outlineLevel="0" collapsed="false">
      <c r="A11" s="15" t="s">
        <v>188</v>
      </c>
      <c r="B11" s="16" t="s">
        <v>189</v>
      </c>
      <c r="C11" s="16" t="s">
        <v>193</v>
      </c>
      <c r="D11" s="16" t="s">
        <v>194</v>
      </c>
      <c r="E11" s="16" t="s">
        <v>195</v>
      </c>
    </row>
    <row r="12" customFormat="false" ht="69.75" hidden="false" customHeight="true" outlineLevel="0" collapsed="false">
      <c r="A12" s="15" t="s">
        <v>188</v>
      </c>
      <c r="B12" s="16" t="s">
        <v>189</v>
      </c>
      <c r="C12" s="16" t="s">
        <v>196</v>
      </c>
      <c r="D12" s="16" t="s">
        <v>197</v>
      </c>
      <c r="E12" s="16" t="s">
        <v>198</v>
      </c>
    </row>
    <row r="13" customFormat="false" ht="69.75" hidden="false" customHeight="true" outlineLevel="0" collapsed="false">
      <c r="A13" s="15" t="s">
        <v>188</v>
      </c>
      <c r="B13" s="16" t="s">
        <v>189</v>
      </c>
      <c r="C13" s="16" t="s">
        <v>199</v>
      </c>
      <c r="D13" s="16" t="s">
        <v>200</v>
      </c>
      <c r="E13" s="16" t="s">
        <v>201</v>
      </c>
    </row>
    <row r="14" customFormat="false" ht="69.75" hidden="false" customHeight="true" outlineLevel="0" collapsed="false">
      <c r="A14" s="15" t="s">
        <v>188</v>
      </c>
      <c r="B14" s="16" t="s">
        <v>189</v>
      </c>
      <c r="C14" s="16" t="s">
        <v>202</v>
      </c>
      <c r="D14" s="16" t="s">
        <v>203</v>
      </c>
      <c r="E14" s="16" t="s">
        <v>204</v>
      </c>
    </row>
    <row r="16" customFormat="false" ht="15" hidden="false" customHeight="true" outlineLevel="0" collapsed="false">
      <c r="A16" s="18" t="s">
        <v>205</v>
      </c>
    </row>
    <row r="17" customFormat="false" ht="94.5" hidden="false" customHeight="true" outlineLevel="0" collapsed="false">
      <c r="A17" s="19" t="s">
        <v>206</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207</v>
      </c>
    </row>
    <row r="2" customFormat="false" ht="15" hidden="false" customHeight="true" outlineLevel="0" collapsed="false">
      <c r="A2" s="20" t="s">
        <v>208</v>
      </c>
    </row>
    <row r="4" customFormat="false" ht="30" hidden="false" customHeight="true" outlineLevel="0" collapsed="false">
      <c r="A4" s="17" t="s">
        <v>209</v>
      </c>
      <c r="B4" s="17" t="s">
        <v>210</v>
      </c>
      <c r="C4" s="17" t="s">
        <v>211</v>
      </c>
      <c r="D4" s="17" t="s">
        <v>212</v>
      </c>
      <c r="E4" s="17" t="s">
        <v>213</v>
      </c>
      <c r="F4" s="17" t="s">
        <v>214</v>
      </c>
      <c r="G4" s="17" t="s">
        <v>215</v>
      </c>
      <c r="H4" s="17" t="s">
        <v>216</v>
      </c>
      <c r="I4" s="17" t="s">
        <v>217</v>
      </c>
      <c r="J4" s="17" t="s">
        <v>14</v>
      </c>
      <c r="K4" s="17" t="s">
        <v>218</v>
      </c>
      <c r="L4" s="17" t="s">
        <v>219</v>
      </c>
    </row>
    <row r="5" customFormat="false" ht="57" hidden="false" customHeight="true" outlineLevel="0" collapsed="false">
      <c r="A5" s="16" t="s">
        <v>220</v>
      </c>
      <c r="B5" s="21" t="n">
        <v>46321</v>
      </c>
      <c r="C5" s="16" t="s">
        <v>221</v>
      </c>
      <c r="D5" s="16" t="s">
        <v>222</v>
      </c>
      <c r="E5" s="16" t="s">
        <v>223</v>
      </c>
      <c r="F5" s="16" t="s">
        <v>224</v>
      </c>
      <c r="G5" s="16" t="s">
        <v>225</v>
      </c>
      <c r="H5" s="16" t="s">
        <v>226</v>
      </c>
      <c r="I5" s="21" t="n">
        <v>46321</v>
      </c>
      <c r="J5" s="16" t="s">
        <v>227</v>
      </c>
      <c r="K5" s="16" t="s">
        <v>228</v>
      </c>
      <c r="L5" s="16"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2026-10-26T19:56:25Z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