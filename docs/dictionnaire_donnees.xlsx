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ictionnaire de données" sheetId="1" state="visible" r:id="rId3"/>
    <sheet name="Synthèse" sheetId="2" state="visible" r:id="rId4"/>
    <sheet name="Notes" sheetId="3" state="visible" r:id="rId5"/>
    <sheet name="Vérification CGU" sheetId="4" state="visible" r:id="rId6"/>
    <sheet name="Vérification CGU sources" sheetId="5" state="visible" r:id="rId7"/>
    <sheet name="Journal des incidents"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<sst xmlns="http://schemas.openxmlformats.org/spreadsheetml/2006/main" count="438" uniqueCount="307">
  <si>
    <t xml:space="preserve">AuroraCast – Dictionnaire de données (activité aurorale et solaire)</t>
  </si>
  <si>
    <t xml:space="preserve">Compétence visée : C1.2.1 (modèle de données) et C1.1.1 (stratégie de collecte). Les cellules « À vérifier » doivent être confirmées avant l'implémentation.</t>
  </si>
  <si>
    <t xml:space="preserve">Variable</t>
  </si>
  <si>
    <t xml:space="preserve">Catégorie</t>
  </si>
  <si>
    <t xml:space="preserve">Définition</t>
  </si>
  <si>
    <t xml:space="preserve">Unité</t>
  </si>
  <si>
    <t xml:space="preserve">Résolution à la source</t>
  </si>
  <si>
    <t xml:space="preserve">Fréquence de collecte conseillée</t>
  </si>
  <si>
    <t xml:space="preserve">Source</t>
  </si>
  <si>
    <t xml:space="preserve">Méthode</t>
  </si>
  <si>
    <t xml:space="preserve">Horizon de prévision</t>
  </si>
  <si>
    <t xml:space="preserve">Priorité</t>
  </si>
  <si>
    <t xml:space="preserve">Utilité pour le projet</t>
  </si>
  <si>
    <t xml:space="preserve">Licence / CGU</t>
  </si>
  <si>
    <t xml:space="preserve">Statut</t>
  </si>
  <si>
    <t xml:space="preserve">Kp observé</t>
  </si>
  <si>
    <t xml:space="preserve">Activité aurorale</t>
  </si>
  <si>
    <t xml:space="preserve">Indice planétaire d'activité géomagnétique, calculé à partir de magnétomètres au sol</t>
  </si>
  <si>
    <t xml:space="preserve">Sans unité (0 à 9)</t>
  </si>
  <si>
    <t xml:space="preserve">3 heures</t>
  </si>
  <si>
    <t xml:space="preserve">Toutes les 3 h (relevé horaire avec dédoublonnage)</t>
  </si>
  <si>
    <t xml:space="preserve">NOAA SWPC (JSON) ; historique : GFZ Potsdam (Kp_ap_Ap_SN_F107_since_1932.txt)</t>
  </si>
  <si>
    <t xml:space="preserve">API</t>
  </si>
  <si>
    <t xml:space="preserve">Court et moyen terme</t>
  </si>
  <si>
    <t xml:space="preserve">Essentielle</t>
  </si>
  <si>
    <t xml:space="preserve">Mesure principale d'activité ; variable cible ou référence</t>
  </si>
  <si>
    <t xml:space="preserve">NOAA : données publiques (à citer) ; GFZ : CC BY 4.0 (taches solaires : CC BY-NC 4.0)</t>
  </si>
  <si>
    <t xml:space="preserve">À faire</t>
  </si>
  <si>
    <t xml:space="preserve">Kp prévu (3 jours)</t>
  </si>
  <si>
    <t xml:space="preserve">Prévision NOAA du Kp, par tranche de 3 h</t>
  </si>
  <si>
    <t xml:space="preserve">1 à 2 fois par jour ; conserver la date d'émission</t>
  </si>
  <si>
    <t xml:space="preserve">NOAA SWPC (JSON/texte)</t>
  </si>
  <si>
    <t xml:space="preserve">API + scraping du texte</t>
  </si>
  <si>
    <t xml:space="preserve">Moyen terme (1 à 3 jours)</t>
  </si>
  <si>
    <t xml:space="preserve">Comparer prévu vs observé (monitoring, bloc 5)</t>
  </si>
  <si>
    <t xml:space="preserve">NOAA : données publiques (à citer)</t>
  </si>
  <si>
    <t xml:space="preserve">Bz (IMF)</t>
  </si>
  <si>
    <t xml:space="preserve">Composante nord-sud du champ magnétique interplanétaire ; négatif = énergie qui entre dans la magnétosphère</t>
  </si>
  <si>
    <t xml:space="preserve">nT</t>
  </si>
  <si>
    <t xml:space="preserve">Minute</t>
  </si>
  <si>
    <t xml:space="preserve">1 fois par heure : moyenne et minimum</t>
  </si>
  <si>
    <t xml:space="preserve">NOAA SWPC (JSON temps réel RTSW, /json/rtsw/rtsw_mag_1m.json)</t>
  </si>
  <si>
    <t xml:space="preserve">Court terme (30 à 60 min)</t>
  </si>
  <si>
    <t xml:space="preserve">Meilleur indicateur d'une aurore imminente</t>
  </si>
  <si>
    <t xml:space="preserve">Bt (IMF)</t>
  </si>
  <si>
    <t xml:space="preserve">Intensité totale du champ magnétique interplanétaire</t>
  </si>
  <si>
    <t xml:space="preserve">1 fois par heure : moyenne</t>
  </si>
  <si>
    <t xml:space="preserve">Court terme</t>
  </si>
  <si>
    <t xml:space="preserve">Utile</t>
  </si>
  <si>
    <t xml:space="preserve">Complète Bz</t>
  </si>
  <si>
    <t xml:space="preserve">Direction IMF (Bx, By)</t>
  </si>
  <si>
    <t xml:space="preserve">Orientation du champ interplanétaire ; le signe de Bz est ce qui compte le plus</t>
  </si>
  <si>
    <t xml:space="preserve">nT / degrés</t>
  </si>
  <si>
    <t xml:space="preserve">1 fois par heure (optionnel)</t>
  </si>
  <si>
    <t xml:space="preserve">Optionnelle</t>
  </si>
  <si>
    <t xml:space="preserve">Peu utile au début ; à tester en sélection de variables</t>
  </si>
  <si>
    <t xml:space="preserve">Vitesse du vent solaire</t>
  </si>
  <si>
    <t xml:space="preserve">Vitesse des particules du vent solaire</t>
  </si>
  <si>
    <t xml:space="preserve">km/s</t>
  </si>
  <si>
    <t xml:space="preserve">1 fois par heure : moyenne et maximum</t>
  </si>
  <si>
    <t xml:space="preserve">NOAA SWPC (JSON temps réel RTSW, /json/rtsw/rtsw_wind_1m.json)</t>
  </si>
  <si>
    <t xml:space="preserve">Plus le vent est rapide, plus l'effet est fort</t>
  </si>
  <si>
    <t xml:space="preserve">Densité du vent solaire</t>
  </si>
  <si>
    <t xml:space="preserve">Densité de particules du vent solaire</t>
  </si>
  <si>
    <t xml:space="preserve">p/cm³</t>
  </si>
  <si>
    <t xml:space="preserve">Amplifie l'effet de la vitesse</t>
  </si>
  <si>
    <t xml:space="preserve">Échelle de tempête G1 à G5</t>
  </si>
  <si>
    <t xml:space="preserve">Niveau de tempête géomagnétique dérivé du Kp</t>
  </si>
  <si>
    <t xml:space="preserve">Niveau 0 à 5</t>
  </si>
  <si>
    <t xml:space="preserve">1 fois par heure</t>
  </si>
  <si>
    <t xml:space="preserve">NOAA SWPC (JSON, noaa-scales)</t>
  </si>
  <si>
    <t xml:space="preserve">Étiquette lisible pour les agences et les alertes</t>
  </si>
  <si>
    <t xml:space="preserve">Alertes et avertissements</t>
  </si>
  <si>
    <t xml:space="preserve">Alertes, veilles et avertissements émis par NOAA (ex : Kp 5 attendu)</t>
  </si>
  <si>
    <t xml:space="preserve">Texte</t>
  </si>
  <si>
    <t xml:space="preserve">Événementielle</t>
  </si>
  <si>
    <t xml:space="preserve">Toutes les heures</t>
  </si>
  <si>
    <t xml:space="preserve">NOAA SWPC (JSON, alerts)</t>
  </si>
  <si>
    <t xml:space="preserve">Historiser les événements et déclencher des alertes</t>
  </si>
  <si>
    <t xml:space="preserve">Magnétomètre (brut)</t>
  </si>
  <si>
    <t xml:space="preserve">Mesures brutes des variations du champ magnétique (sol ou satellite)</t>
  </si>
  <si>
    <t xml:space="preserve">Non collecté</t>
  </si>
  <si>
    <t xml:space="preserve">À déterminer</t>
  </si>
  <si>
    <t xml:space="preserve">—</t>
  </si>
  <si>
    <t xml:space="preserve">À écarter</t>
  </si>
  <si>
    <t xml:space="preserve">Redondant avec le Kp, qui en est dérivé</t>
  </si>
  <si>
    <t xml:space="preserve">Phase de la Lune</t>
  </si>
  <si>
    <t xml:space="preserve">Calculée</t>
  </si>
  <si>
    <t xml:space="preserve">Pourcentage d'illumination de la Lune ; une pleine Lune gêne la visibilité</t>
  </si>
  <si>
    <t xml:space="preserve">% (0 à 100)</t>
  </si>
  <si>
    <t xml:space="preserve">Calcul</t>
  </si>
  <si>
    <t xml:space="preserve">Calculée à la demande</t>
  </si>
  <si>
    <t xml:space="preserve">Bibliothèque astral / ephem</t>
  </si>
  <si>
    <t xml:space="preserve">Calcul local</t>
  </si>
  <si>
    <t xml:space="preserve">N'influence pas l'aurore mais la visibilité</t>
  </si>
  <si>
    <t xml:space="preserve">Sans objet (calcul)</t>
  </si>
  <si>
    <t xml:space="preserve">Nuit noire (début/fin)</t>
  </si>
  <si>
    <t xml:space="preserve">Période de nuit astronomique pour un lieu donné</t>
  </si>
  <si>
    <t xml:space="preserve">Heure locale</t>
  </si>
  <si>
    <t xml:space="preserve">Condition de visibilité de l'aurore</t>
  </si>
  <si>
    <t xml:space="preserve">Nébulosité</t>
  </si>
  <si>
    <t xml:space="preserve">Météo</t>
  </si>
  <si>
    <t xml:space="preserve">Part du ciel couverte par les nuages</t>
  </si>
  <si>
    <t xml:space="preserve">%</t>
  </si>
  <si>
    <t xml:space="preserve">Horaire</t>
  </si>
  <si>
    <t xml:space="preserve">1 fois par jour (prévision + observé de la veille)</t>
  </si>
  <si>
    <t xml:space="preserve">Open-Meteo (CSV / API archive) ; Frost MET Norway en complément</t>
  </si>
  <si>
    <t xml:space="preserve">API / CSV</t>
  </si>
  <si>
    <t xml:space="preserve">Un ciel couvert empêche de voir l'aurore</t>
  </si>
  <si>
    <t xml:space="preserve">Open-Meteo : CC BY 4.0, non commercial ; Frost : NLOD 2.0 / CC 4.0</t>
  </si>
  <si>
    <t xml:space="preserve">Régions de taches solaires</t>
  </si>
  <si>
    <t xml:space="preserve">Activité solaire</t>
  </si>
  <si>
    <t xml:space="preserve">Taches actives et probabilités d'éruptions C/M/X</t>
  </si>
  <si>
    <t xml:space="preserve">Probabilité (%)</t>
  </si>
  <si>
    <t xml:space="preserve">Journalière</t>
  </si>
  <si>
    <t xml:space="preserve">1 fois par jour</t>
  </si>
  <si>
    <t xml:space="preserve">NOAA SWPC (JSON) ; SpaceWeatherLive (si CGU OK)</t>
  </si>
  <si>
    <t xml:space="preserve">API / scraping</t>
  </si>
  <si>
    <t xml:space="preserve">Les éruptions mettent 1 à 3 jours à avoir un effet</t>
  </si>
  <si>
    <t xml:space="preserve">NOAA : publiques ; SpaceWeatherLive : à vérifier (robots.txt OK, CGU à lire)</t>
  </si>
  <si>
    <t xml:space="preserve">Activité solaire dernière heure (rayons X)</t>
  </si>
  <si>
    <t xml:space="preserve">Flux de rayons X, classe d'éruption (A, B, C, M, X)</t>
  </si>
  <si>
    <t xml:space="preserve">W/m² / classe</t>
  </si>
  <si>
    <t xml:space="preserve">NOAA SWPC (JSON GOES) ; SpaceWeatherLive</t>
  </si>
  <si>
    <t xml:space="preserve">Détecte les éruptions en cours</t>
  </si>
  <si>
    <t xml:space="preserve">Protons de haute énergie</t>
  </si>
  <si>
    <t xml:space="preserve">Flux de protons énergétiques (échelle S)</t>
  </si>
  <si>
    <t xml:space="preserve">pfu</t>
  </si>
  <si>
    <t xml:space="preserve">1 fois par jour (optionnel)</t>
  </si>
  <si>
    <t xml:space="preserve">NOAA SWPC (à vérifier) ; SpaceWeatherLive</t>
  </si>
  <si>
    <t xml:space="preserve">Lien faible avec la visibilité des aurores</t>
  </si>
  <si>
    <t xml:space="preserve">À vérifier</t>
  </si>
  <si>
    <t xml:space="preserve">Texte de prévision (3 jours)</t>
  </si>
  <si>
    <t xml:space="preserve">Prévision rédigée par les prévisionnistes NOAA</t>
  </si>
  <si>
    <t xml:space="preserve">Quotidienne</t>
  </si>
  <si>
    <t xml:space="preserve">1 à 2 fois par jour</t>
  </si>
  <si>
    <t xml:space="preserve">NOAA SWPC (/text/3-day-forecast.txt)</t>
  </si>
  <si>
    <t xml:space="preserve">Scraping de texte</t>
  </si>
  <si>
    <t xml:space="preserve">Moyen terme</t>
  </si>
  <si>
    <t xml:space="preserve">Illustre le scraping de données non structurées (C1.1.2)</t>
  </si>
  <si>
    <t xml:space="preserve">Synthèse des variables</t>
  </si>
  <si>
    <t xml:space="preserve">Nombre de variables</t>
  </si>
  <si>
    <t xml:space="preserve">Total</t>
  </si>
  <si>
    <t xml:space="preserve">Variables à collecter via</t>
  </si>
  <si>
    <t xml:space="preserve">Scraping</t>
  </si>
  <si>
    <t xml:space="preserve">Notes et points à vérifier</t>
  </si>
  <si>
    <t xml:space="preserve">Sujet</t>
  </si>
  <si>
    <t xml:space="preserve">Détail</t>
  </si>
  <si>
    <t xml:space="preserve">Rôle de Bz</t>
  </si>
  <si>
    <t xml:space="preserve">Quand Bz est négatif (orienté vers le sud), le champ du vent solaire se connecte à celui de la Terre et les aurores s'intensifient. Quand Bz est positif, la Terre est mieux protégée.</t>
  </si>
  <si>
    <t xml:space="preserve">Deux horizons</t>
  </si>
  <si>
    <t xml:space="preserve">Court terme (30 à 60 min) : Bz, vitesse, densité. Moyen terme (1 à 3 jours) : taches solaires, éruptions, prévision Kp NOAA.</t>
  </si>
  <si>
    <t xml:space="preserve">Historique</t>
  </si>
  <si>
    <t xml:space="preserve">Les JSON NOAA ne gardent que quelques jours. Prévoir un backfill (GFZ, OMNIWeb, Open-Meteo archive) puis une collecte continue.</t>
  </si>
  <si>
    <t xml:space="preserve">Prévisions</t>
  </si>
  <si>
    <t xml:space="preserve">Conserver chaque prévision avec sa date d'émission pour comparer prévu vs observé (monitoring et réentraînement).</t>
  </si>
  <si>
    <t xml:space="preserve">Valeurs manquantes</t>
  </si>
  <si>
    <t xml:space="preserve">Marqueur explicite, journal des trous, interpolation courte pour le vent solaire, jamais pour le Kp observé.</t>
  </si>
  <si>
    <t xml:space="preserve">SpaceWeatherLive</t>
  </si>
  <si>
    <t xml:space="preserve">robots.txt : Allow pour les robots génériques, Crawl-delay de 5 s, ai-train=no (zone grise pour le ML). CGU : données brutes libres avec citation des sources d'origine, copie des graphiques et hotlinking interdits, rien sur le scraping. Privilégier NOAA/GFZ à la source. Détails dans l'onglet « Vérification CGU ».</t>
  </si>
  <si>
    <t xml:space="preserve">Endpoints NOAA pour les protons et les taches solaires, accès et licence GFZ/OMNIWeb, unités exactes de chaque flux.</t>
  </si>
  <si>
    <t xml:space="preserve">Vérification juridique : SpaceWeatherLive</t>
  </si>
  <si>
    <t xml:space="preserve">Vérification faite le 26/10/2026 (C1.1.2, cadre réglementaire). Ce n'est pas un avis juridique.</t>
  </si>
  <si>
    <t xml:space="preserve">Document</t>
  </si>
  <si>
    <t xml:space="preserve">Lien</t>
  </si>
  <si>
    <t xml:space="preserve">Section</t>
  </si>
  <si>
    <t xml:space="preserve">Ce que dit le texte (résumé)</t>
  </si>
  <si>
    <t xml:space="preserve">Conséquence pour le scraping</t>
  </si>
  <si>
    <t xml:space="preserve">Disclaimer (avertissement légal)</t>
  </si>
  <si>
    <t xml:space="preserve">https://www.spaceweatherlive.com/en/disclaimer.html</t>
  </si>
  <si>
    <t xml:space="preserve">Copyright &amp; Intellectual Property</t>
  </si>
  <si>
    <t xml:space="preserve">Les données brutes générées ne sont pas soumises au droit d'auteur et peuvent être utilisées librement en citant les sources d'origine. Copier les graphiques générés, la mise en page, les symboles ou les logiciels est interdit sans autorisation. Le hotlinking d'images ou de graphiques depuis leurs serveurs est interdit.</t>
  </si>
  <si>
    <t xml:space="preserve">Données chiffrées : autorisées avec citation de la source. Graphiques, images et mise en page : à ne pas copier ni lier.</t>
  </si>
  <si>
    <t xml:space="preserve">Public Data &amp; Scientific Attribution</t>
  </si>
  <si>
    <t xml:space="preserve">Les données brutes viennent d'organismes comme NOAA, GFZ Potsdam, IRF et SIDC.</t>
  </si>
  <si>
    <t xml:space="preserve">Citer ces organismes dans le dossier. Pour Kp et vent solaire, privilégier la source d'origine.</t>
  </si>
  <si>
    <t xml:space="preserve">Solar &amp; Aurora Imagery Rights</t>
  </si>
  <si>
    <t xml:space="preserve">Les images solaires appartiennent à NASA, ESA, etc. Les photos d'aurores appartiennent à leurs auteurs, sous licence exclusive du site. Toute redistribution non autorisée est interdite.</t>
  </si>
  <si>
    <t xml:space="preserve">Ne pas collecter ni stocker d'images ou de photos.</t>
  </si>
  <si>
    <t xml:space="preserve">User agreement</t>
  </si>
  <si>
    <t xml:space="preserve">https://www.spaceweatherlive.com/lv/polarblazmas-aktivitate/observations/terms-of-use.html</t>
  </si>
  <si>
    <t xml:space="preserve">Your submitted observations</t>
  </si>
  <si>
    <t xml:space="preserve">Concerne les observations envoyées par les utilisateurs (licence non exclusive, publication, usage par des chercheurs avec mention de l'auteur).</t>
  </si>
  <si>
    <t xml:space="preserve">Hors sujet pour le scraping, sauf si tu collectes des observations d'utilisateurs : dans ce cas, attribution obligatoire.</t>
  </si>
  <si>
    <t xml:space="preserve">Les deux pages</t>
  </si>
  <si>
    <t xml:space="preserve">Accès automatisé / scraping / API / usage commercial</t>
  </si>
  <si>
    <t xml:space="preserve">Aucune mention trouvée dans le disclaimer ni dans l'accord utilisateur.</t>
  </si>
  <si>
    <t xml:space="preserve">Pas d'interdiction explicite, mais pas d'autorisation explicite non plus (voir robots.txt ci-dessous).</t>
  </si>
  <si>
    <t xml:space="preserve">robots.txt</t>
  </si>
  <si>
    <t xml:space="preserve">https://www.spaceweatherlive.com/robots.txt</t>
  </si>
  <si>
    <t xml:space="preserve">User-agent: * (Allow: /)</t>
  </si>
  <si>
    <t xml:space="preserve">Tous les chemins sont ouverts aux robots génériques (test Python can_fetch = True).</t>
  </si>
  <si>
    <t xml:space="preserve">Scraping techniquement autorisé pour un robot générique.</t>
  </si>
  <si>
    <t xml:space="preserve">Crawl-delay: 5</t>
  </si>
  <si>
    <t xml:space="preserve">Demande d'attendre 5 secondes entre deux requêtes.</t>
  </si>
  <si>
    <t xml:space="preserve">Obligatoire : time.sleep(5) minimum entre deux pages, en plus d'une collecte par heure maximum.</t>
  </si>
  <si>
    <t xml:space="preserve">Signaux de contenu : search=yes, ai-train=no, use=reference</t>
  </si>
  <si>
    <t xml:space="preserve">Indexation par les moteurs autorisée, entraînement d'IA refusé.</t>
  </si>
  <si>
    <t xml:space="preserve">Zone grise pour entraîner un modèle de ML : privilégier NOAA et GFZ à la source, ou demander une autorisation écrite au site.</t>
  </si>
  <si>
    <t xml:space="preserve">Robots bloqués (Disallow: /)</t>
  </si>
  <si>
    <t xml:space="preserve">Environ 35 robots d'entraînement d'IA (GPTBot, ClaudeBot, CCBot, Google-Extended…) et robots SEO (AhrefsBot, SemrushBot, MJ12bot…).</t>
  </si>
  <si>
    <t xml:space="preserve">Ne pas utiliser un de ces noms ; User-Agent personnalisé et identifiable avec un contact.</t>
  </si>
  <si>
    <t xml:space="preserve">Sitemap</t>
  </si>
  <si>
    <t xml:space="preserve">https://www.spaceweatherlive.com/sitemap.php</t>
  </si>
  <si>
    <t xml:space="preserve">Utile pour repérer les pages à collecter.</t>
  </si>
  <si>
    <t xml:space="preserve">Conclusion</t>
  </si>
  <si>
    <t xml:space="preserve">Le scraping de valeurs numériques brutes (Kp, flux, taches solaires) n'est pas interdit par les CGU, à condition de citer les sources d'origine. À éviter : graphiques, images, mise en page. Le robots.txt l'autorise pour un robot générique avec un délai de 5 secondes entre requêtes, mais refuse l'entraînement d'IA (ai-train=no) : pour un modèle de ML, prendre NOAA et GFZ à la source ou demander l'accord du site. Bonnes pratiques : une collecte par heure, 5 secondes entre pages, User-Agent identifiable. Pages lues via un outil de résumé : relire les textes sur le site avant de les citer. Vérification faite le 26/10/2026, ce n'est pas un avis juridique.</t>
  </si>
  <si>
    <t xml:space="preserve">Vérification juridique : GFZ, NOAA SWPC, OMNIWeb (NASA), Open-Meteo, NOAA GHCNh</t>
  </si>
  <si>
    <t xml:space="preserve">Vérification faite le 26/10/2026 (C1.1.2, cadre réglementaire). Ce n'est pas un avis juridique. Pages lues via un outil de résumé : relire les textes sur les sites avant de les citer.</t>
  </si>
  <si>
    <t xml:space="preserve">Conséquence pour la collecte</t>
  </si>
  <si>
    <t xml:space="preserve">GFZ Potsdam (Kp historique)</t>
  </si>
  <si>
    <t xml:space="preserve">Page de l'indice Kp (GFZ)</t>
  </si>
  <si>
    <t xml:space="preserve">https://gfz.de/en/section/geomagnetism/data-products-services/geomagnetic-kp-index</t>
  </si>
  <si>
    <t xml:space="preserve">Les données de l'indice Kp sont sous licence CC BY 4.0. Le GFZ demande d'être cité comme source des données.</t>
  </si>
  <si>
    <t xml:space="preserve">Citer le GFZ, le jeu de données (Matzka et al., 2021, Geomagnetic Kp index, GFZ Data Services, DOI 10.5880/Kp.0001) et l'article (Matzka et al., 2021, Space Weather, DOI 10.1029/2020SW002641).</t>
  </si>
  <si>
    <t xml:space="preserve">En-tête du fichier Kp_ap_Ap_SN_F107</t>
  </si>
  <si>
    <t xml:space="preserve">https://kp.gfz.de/fileadmin/files_for_gfz_cms/Kp_ap_Ap_SN_F107_nowcast.txt</t>
  </si>
  <si>
    <t xml:space="preserve">CC BY 4.0, sauf le nombre de taches solaires (SN) : CC BY-NC 4.0, fourni par WDC-SILSO (Observatoire royal de Belgique). F10.7 fourni par le Dominion Radio Astrophysical Observatory et Ressources naturelles Canada.</t>
  </si>
  <si>
    <t xml:space="preserve">SN : usage non commercial seulement. Si AuroraCast devient un service payant, retirer SN ou demander l'accord de SILSO. Citer SILSO et DRAO / NRCan.</t>
  </si>
  <si>
    <t xml:space="preserve">Page de téléchargement des données</t>
  </si>
  <si>
    <t xml:space="preserve">https://kp.gfz.de/en/data</t>
  </si>
  <si>
    <t xml:space="preserve">Aucune clause sur l'accès automatisé. La page conseille le téléchargement HTTPS pour les gros volumes.</t>
  </si>
  <si>
    <t xml:space="preserve">Le backfill télécharge le fichier complet en HTTPS, une seule fois, à la demande.</t>
  </si>
  <si>
    <t xml:space="preserve">NOAA SWPC (collecte horaire)</t>
  </si>
  <si>
    <t xml:space="preserve">Avertissement légal du NWS (dont dépend le SWPC)</t>
  </si>
  <si>
    <t xml:space="preserve">https://www.weather.gov/DISCLAIMER.PHP</t>
  </si>
  <si>
    <t xml:space="preserve">Les informations des serveurs du gouvernement sont dans le domaine public, utilisables librement à condition de ne pas se les attribuer, de ne pas laisser croire à un soutien de la NOAA, et de ne pas présenter des données modifiées comme officielles.</t>
  </si>
  <si>
    <t xml:space="preserve">Citer NOAA SWPC comme source. Dans l'application, présenter la prévision comme celle d'AuroraCast, jamais comme une prévision NOAA.</t>
  </si>
  <si>
    <t xml:space="preserve">Fiche data.gov « Space Weather Products »</t>
  </si>
  <si>
    <t xml:space="preserve">https://catalog-old.data.gov/dataset/space-weather-products2</t>
  </si>
  <si>
    <t xml:space="preserve">Considéré comme une œuvre du gouvernement américain. Contraintes d'accès : aucune. Contraintes d'usage : aucune.</t>
  </si>
  <si>
    <t xml:space="preserve">Collecte et réutilisation autorisées.</t>
  </si>
  <si>
    <t xml:space="preserve">Accès automatisé</t>
  </si>
  <si>
    <t xml:space="preserve">https://services.swpc.noaa.gov/</t>
  </si>
  <si>
    <t xml:space="preserve">Aucune mention de limite de requêtes trouvée.</t>
  </si>
  <si>
    <t xml:space="preserve">Bonnes pratiques : une requête par heure et par fichier, User-Agent identifiable avec contact, nouvelles tentatives espacées.</t>
  </si>
  <si>
    <t xml:space="preserve">OMNIWeb (NASA SPDF, vent solaire historique)</t>
  </si>
  <si>
    <t xml:space="preserve">Page « Citing OMNI »</t>
  </si>
  <si>
    <t xml:space="preserve">https://omniweb.gsfc.nasa.gov/html/citing.html</t>
  </si>
  <si>
    <t xml:space="preserve">Citer le jeu de données OMNI horaire par son DOI en ajoutant la date d'accès ; remerciement suggéré : « We acknowledge use of NASA/GSFC's Space Physics Data Facility's OMNIWeb (or CDAWeb or ftp) service, and OMNI data ». Pas d'autre politique d'usage.</t>
  </si>
  <si>
    <t xml:space="preserve">Citer Papitashvili et King (2020), OMNI Hourly Data, DOI 10.48322/1shr-ht18, avec la date d'accès, et King et Papitashvili (2005), DOI 10.1029/2004JA010649.</t>
  </si>
  <si>
    <t xml:space="preserve">Description du format omni2.text</t>
  </si>
  <si>
    <t xml:space="preserve">https://spdf.gsfc.nasa.gov/pub/data/omni/low_res_omni/omni2.text</t>
  </si>
  <si>
    <t xml:space="preserve">Les publications utilisant ces données doivent remercier le Space Physics Data Facility (SPDF).</t>
  </si>
  <si>
    <t xml:space="preserve">Mention du SPDF dans le dossier et la documentation.</t>
  </si>
  <si>
    <t xml:space="preserve">Répertoire public des fichiers annuels</t>
  </si>
  <si>
    <t xml:space="preserve">https://spdf.gsfc.nasa.gov/pub/data/omni/low_res_omni/</t>
  </si>
  <si>
    <t xml:space="preserve">Répertoire public en HTTPS, un fichier par année (omni2_AAAA.dat, environ 2,7 Mo).</t>
  </si>
  <si>
    <t xml:space="preserve">Crawling du répertoire pour découvrir les fichiers, puis téléchargement un par un avec une pause entre deux fichiers.</t>
  </si>
  <si>
    <t xml:space="preserve">Open-Meteo (nébulosité historique, écarté)</t>
  </si>
  <si>
    <t xml:space="preserve">Conditions d'utilisation</t>
  </si>
  <si>
    <t xml:space="preserve">https://open-meteo.com/en/terms</t>
  </si>
  <si>
    <t xml:space="preserve">API gratuite réservée à l'usage non commercial (l'usage éducatif en fait partie ; les sites avec abonnement ou publicité sont commerciaux). Limites : moins de 10 000 appels par jour, 5 000 par heure, 600 par minute, 300 000 par mois.</t>
  </si>
  <si>
    <t xml:space="preserve">Projet de certification : autorisé. Backfill découpé par lieu et par année, avec pause entre les appels. Si AuroraCast devient commercial : abonnement avec clé d'API.</t>
  </si>
  <si>
    <t xml:space="preserve">Licence</t>
  </si>
  <si>
    <t xml:space="preserve">https://open-meteo.com/en/licence</t>
  </si>
  <si>
    <t xml:space="preserve">Données sous CC BY 4.0. Un lien « Weather data by Open-Meteo.com » doit figurer à côté de chaque endroit où les données sont affichées. Sources sous-jacentes listées, dont Copernicus (C3S) et l'ECMWF.</t>
  </si>
  <si>
    <t xml:space="preserve">Afficher le lien Open-Meteo dans le tableau de bord du directeur ; citer Open-Meteo et Copernicus dans le dossier.</t>
  </si>
  <si>
    <t xml:space="preserve">NOAA GHCNh (nébulosité observée)</t>
  </si>
  <si>
    <t xml:space="preserve">Fiche data.gov GHCNh Version 1</t>
  </si>
  <si>
    <t xml:space="preserve">https://catalog.data.gov/dataset/global-historical-climatology-network-hourly-ghcnh-version-1</t>
  </si>
  <si>
    <t xml:space="preserve">Licence CC0 1.0 (domaine public). Remplace le jeu « Global Hourly » (ISD), qui n'est plus mis à jour depuis le 24/08/2025.</t>
  </si>
  <si>
    <t xml:space="preserve">Collecte et réutilisation autorisées, y compris le stockage.</t>
  </si>
  <si>
    <t xml:space="preserve">Registre AWS Open Data « NOAA GHCN-H »</t>
  </si>
  <si>
    <t xml:space="preserve">https://registry.opendata.aws/noaa-ghcnh/</t>
  </si>
  <si>
    <t xml:space="preserve">Fichiers publics dans l'espace noaa-ghcnh-pds (us-east-1). NOAA demande d'être citée pour un usage de données non modifiées et interdit de laisser croire à son soutien.</t>
  </si>
  <si>
    <t xml:space="preserve">Citer NOAA NCEI, GHCNh Version 1, DOI 10.25921/jp3d-3v19. Accès par fichier annuel par station, une requête par fichier avec pause.</t>
  </si>
  <si>
    <t xml:space="preserve">NOAA ISD Global Hourly (écarté)</t>
  </si>
  <si>
    <t xml:space="preserve">Avis NESDIS de changement de service</t>
  </si>
  <si>
    <t xml:space="preserve">https://www.nesdis.noaa.gov/news/service-location-change-integrated-surface-data-global-hourly</t>
  </si>
  <si>
    <t xml:space="preserve">Produit remplacé : plus de mise à jour après le 24/08/2025 ; téléchargement direct retiré le 31/07/2026 ; GHCNh recommandé.</t>
  </si>
  <si>
    <t xml:space="preserve">Écarté : pas de données récentes.</t>
  </si>
  <si>
    <t xml:space="preserve">Toutes les sources</t>
  </si>
  <si>
    <t xml:space="preserve">GFZ, NOAA SWPC, OMNIWeb et NOAA GHCNh autorisent la collecte et la réutilisation pour un projet de certification, à condition de les citer. Open-Meteo est écarté : le robots.txt de son API d'archive interdit l'accès (incident INC-002). Restriction d'usage commercial à retenir : le nombre de taches solaires du fichier GFZ (CC BY-NC 4.0). Obligation d'affichage : une prévision présentée comme celle d'AuroraCast, pas de la NOAA. Le respect du robots.txt est contrôlé automatiquement à chaque collecte.</t>
  </si>
  <si>
    <t xml:space="preserve">Journal des incidents de collecte</t>
  </si>
  <si>
    <t xml:space="preserve">Un incident par ligne, du plus récent au plus ancien (C4.4.2 résolution d'incident, C1.1.2 exhaustivité de la collecte, C4.3.1 supervision).</t>
  </si>
  <si>
    <t xml:space="preserve">N°</t>
  </si>
  <si>
    <t xml:space="preserve">Date de détection</t>
  </si>
  <si>
    <t xml:space="preserve">Source / composant</t>
  </si>
  <si>
    <t xml:space="preserve">Symptôme</t>
  </si>
  <si>
    <t xml:space="preserve">Comment il a été détecté</t>
  </si>
  <si>
    <t xml:space="preserve">Cause</t>
  </si>
  <si>
    <t xml:space="preserve">Impact</t>
  </si>
  <si>
    <t xml:space="preserve">Résolution</t>
  </si>
  <si>
    <t xml:space="preserve">Date de résolution</t>
  </si>
  <si>
    <t xml:space="preserve">Prévention / leçon</t>
  </si>
  <si>
    <t xml:space="preserve">Compétences</t>
  </si>
  <si>
    <t xml:space="preserve">INC-002</t>
  </si>
  <si>
    <t xml:space="preserve">Open-Meteo : API d'archive (nébulosité historique)</t>
  </si>
  <si>
    <t xml:space="preserve">Premier backfill : les 51 séries lieu-année Open-Meteo refusées, aucune donnée téléchargée (GFZ et OMNIWeb collectés sans erreur).</t>
  </si>
  <si>
    <t xml:space="preserve">Manifeste du backfill : robots = « lu », allowed = false, erreur « interdit par https://archive-api.open-meteo.com/robots.txt ». Exécution GitHub Actions en échec.</t>
  </si>
  <si>
    <t xml:space="preserve">Le robots.txt du sous-domaine archive-api.open-meteo.com interdit l'accès à tous les robots, alors que les conditions d'utilisation autorisent l'API gratuite en usage non commercial. Le contrôle robots.txt ajouté au collecteur a joué son rôle.</t>
  </si>
  <si>
    <t xml:space="preserve">Pas d'historique de nébulosité. Sans effet sur le modèle de Kp (qui ne dépend pas du lieu) ; bloque l'analyse des nuits dégagées par lieu.</t>
  </si>
  <si>
    <t xml:space="preserve">Décision : appliquer strictement le robots.txt plutôt qu'une exception. Comparaison de sources (NASA POWER interdit par robots.txt ; NOAA ISD figé depuis le 24/08/2025) et choix de NOAA GHCNh (CC0, mis à jour chaque jour, accès autorisé). Open-Meteo retiré du workflow de backfill ; recherche des stations GHCNh proches des lieux cibles.</t>
  </si>
  <si>
    <t xml:space="preserve">Contournement en cours : bascule vers NOAA GHCNh</t>
  </si>
  <si>
    <t xml:space="preserve">Contrôler le robots.txt de chaque hôte (et pas seulement du site principal : open-meteo.com autorise, archive-api.open-meteo.com interdit) avant de retenir une source.</t>
  </si>
  <si>
    <t xml:space="preserve">C1.1.2, C4.4.2, C3.3.3</t>
  </si>
  <si>
    <t xml:space="preserve">INC-001</t>
  </si>
  <si>
    <t xml:space="preserve">NOAA SWPC : vent solaire (champ magnétique et plasma)</t>
  </si>
  <si>
    <t xml:space="preserve">Premier lancement de la collecte horaire (GitHub Actions) : 7 sources sur 9 collectées, les 2 sources du vent solaire en erreur HTTP 404.</t>
  </si>
  <si>
    <t xml:space="preserve">Manifeste de l'exécution (ok = false, http_status = 404) et exécution GitHub Actions marquée en échec par l'étape « Signaler un échec partiel ».</t>
  </si>
  <si>
    <t xml:space="preserve">La NOAA a retiré l'ancien dossier /products/solar-wind/ (mag-*.json, plasma-*.json). Les données sont désormais publiées dans /json/rtsw/ (rtsw_mag_1m.json, rtsw_wind_1m.json).</t>
  </si>
  <si>
    <t xml:space="preserve">Bz, Bt, vitesse et densité du vent solaire (variables essentielles) non collectés pendant ce lancement. Pas de perte durable : la collecte venait de démarrer.</t>
  </si>
  <si>
    <t xml:space="preserve">Bascule sur les flux temps réel RTSW. Ces fichiers (1,4 à 2,4 Mo) sont réduits aux 3 dernières heures, sans modifier les enregistrements gardés ; le manifeste note les lignes reçues et gardées. Un flux figé (aucune donnée récente) est signalé en échec. Tests ajoutés. Commit d5bcc17. Vérifié le 26/10/2026 à 19:52 UTC (exécution #2) : 9 sources sur 9 collectées, 264 et 248 mesures de vent solaire gardées.</t>
  </si>
  <si>
    <t xml:space="preserve">Résolu</t>
  </si>
  <si>
    <t xml:space="preserve">Lire le manifeste après chaque exécution. Vérifier les URL dans la documentation NOAA : le listing du répertoire affichait encore les anciens fichiers.</t>
  </si>
  <si>
    <t xml:space="preserve">C4.4.2, C1.1.2, C4.3.1</t>
  </si>
</sst>
</file>

<file path=xl/styles.xml><?xml version="1.0" encoding="utf-8"?>
<styleSheet xmlns="http://schemas.openxmlformats.org/spreadsheetml/2006/main">
  <numFmts count="3">
    <numFmt numFmtId="164" formatCode="General"/>
    <numFmt numFmtId="165" formatCode="General"/>
    <numFmt numFmtId="166" formatCode="dd/mm/yyyy"/>
  </numFmts>
  <fonts count="11">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595959"/>
      <name val="Arial"/>
      <family val="0"/>
      <charset val="1"/>
    </font>
    <font>
      <b val="true"/>
      <sz val="11"/>
      <color rgb="FFFFFFFF"/>
      <name val="Arial"/>
      <family val="0"/>
      <charset val="1"/>
    </font>
    <font>
      <b val="true"/>
      <sz val="10"/>
      <name val="Arial"/>
      <family val="0"/>
      <charset val="1"/>
    </font>
    <font>
      <sz val="10"/>
      <name val="Arial"/>
      <family val="0"/>
      <charset val="1"/>
    </font>
    <font>
      <b val="true"/>
      <sz val="11"/>
      <name val="Arial"/>
      <family val="0"/>
      <charset val="1"/>
    </font>
    <font>
      <sz val="9"/>
      <color rgb="FF595959"/>
      <name val="Arial"/>
      <family val="0"/>
      <charset val="1"/>
    </font>
  </fonts>
  <fills count="3">
    <fill>
      <patternFill patternType="none"/>
    </fill>
    <fill>
      <patternFill patternType="gray125"/>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4" fontId="6" fillId="2"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left" vertical="bottom" textRotation="0" wrapText="false" indent="0" shrinkToFit="false"/>
      <protection locked="true" hidden="false"/>
    </xf>
    <xf numFmtId="165" fontId="8"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left" vertical="bottom" textRotation="0" wrapText="false" indent="0" shrinkToFit="false"/>
      <protection locked="true" hidden="false"/>
    </xf>
    <xf numFmtId="165" fontId="7" fillId="0" borderId="1"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center" vertical="bottom"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6" fontId="8" fillId="0" borderId="1" xfId="0" applyFont="true" applyBorder="true" applyAlignment="true" applyProtection="false">
      <alignment horizontal="left"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C6E0B4"/>
        </patternFill>
      </fill>
    </dxf>
    <dxf>
      <fill>
        <patternFill>
          <bgColor rgb="FFFFE699"/>
        </patternFill>
      </fill>
    </dxf>
    <dxf>
      <fill>
        <patternFill>
          <bgColor rgb="FFD9D9D9"/>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18"/>
    <col collapsed="false" customWidth="true" hidden="false" outlineLevel="0" max="3" min="3" style="1" width="44"/>
    <col collapsed="false" customWidth="true" hidden="false" outlineLevel="0" max="4" min="4" style="1" width="14"/>
    <col collapsed="false" customWidth="true" hidden="false" outlineLevel="0" max="5" min="5" style="1" width="16"/>
    <col collapsed="false" customWidth="true" hidden="false" outlineLevel="0" max="6" min="6" style="1" width="26"/>
    <col collapsed="false" customWidth="true" hidden="false" outlineLevel="0" max="7" min="7" style="1" width="34"/>
    <col collapsed="false" customWidth="true" hidden="false" outlineLevel="0" max="8" min="8" style="1" width="16"/>
    <col collapsed="false" customWidth="true" hidden="false" outlineLevel="0" max="9" min="9" style="1" width="20"/>
    <col collapsed="false" customWidth="true" hidden="false" outlineLevel="0" max="10" min="10" style="1" width="13"/>
    <col collapsed="false" customWidth="true" hidden="false" outlineLevel="0" max="11" min="11" style="1" width="38"/>
    <col collapsed="false" customWidth="true" hidden="false" outlineLevel="0" max="12" min="12" style="1" width="34"/>
    <col collapsed="false" customWidth="true" hidden="false" outlineLevel="0" max="13" min="13" style="1" width="11"/>
  </cols>
  <sheetData>
    <row r="1" customFormat="false" ht="17.25" hidden="false" customHeight="true" outlineLevel="0" collapsed="false">
      <c r="A1" s="2" t="s">
        <v>0</v>
      </c>
    </row>
    <row r="2" customFormat="false" ht="15" hidden="false" customHeight="true" outlineLevel="0" collapsed="false">
      <c r="A2" s="3" t="s">
        <v>1</v>
      </c>
    </row>
    <row r="4" customFormat="false" ht="33.75" hidden="false" customHeight="true" outlineLevel="0" collapsed="false">
      <c r="A4" s="4" t="s">
        <v>2</v>
      </c>
      <c r="B4" s="4" t="s">
        <v>3</v>
      </c>
      <c r="C4" s="4" t="s">
        <v>4</v>
      </c>
      <c r="D4" s="4" t="s">
        <v>5</v>
      </c>
      <c r="E4" s="4" t="s">
        <v>6</v>
      </c>
      <c r="F4" s="4" t="s">
        <v>7</v>
      </c>
      <c r="G4" s="4" t="s">
        <v>8</v>
      </c>
      <c r="H4" s="4" t="s">
        <v>9</v>
      </c>
      <c r="I4" s="4" t="s">
        <v>10</v>
      </c>
      <c r="J4" s="4" t="s">
        <v>11</v>
      </c>
      <c r="K4" s="4" t="s">
        <v>12</v>
      </c>
      <c r="L4" s="4" t="s">
        <v>13</v>
      </c>
      <c r="M4" s="4" t="s">
        <v>14</v>
      </c>
    </row>
    <row r="5" customFormat="false" ht="23.25" hidden="false" customHeight="true" outlineLevel="0" collapsed="false">
      <c r="A5" s="5" t="s">
        <v>15</v>
      </c>
      <c r="B5" s="6" t="s">
        <v>16</v>
      </c>
      <c r="C5" s="6" t="s">
        <v>17</v>
      </c>
      <c r="D5" s="7" t="s">
        <v>18</v>
      </c>
      <c r="E5" s="6" t="s">
        <v>19</v>
      </c>
      <c r="F5" s="6" t="s">
        <v>20</v>
      </c>
      <c r="G5" s="6" t="s">
        <v>21</v>
      </c>
      <c r="H5" s="6" t="s">
        <v>22</v>
      </c>
      <c r="I5" s="7" t="s">
        <v>23</v>
      </c>
      <c r="J5" s="7" t="s">
        <v>24</v>
      </c>
      <c r="K5" s="6" t="s">
        <v>25</v>
      </c>
      <c r="L5" s="6" t="s">
        <v>26</v>
      </c>
      <c r="M5" s="7" t="s">
        <v>27</v>
      </c>
    </row>
    <row r="6" customFormat="false" ht="23.25" hidden="false" customHeight="true" outlineLevel="0" collapsed="false">
      <c r="A6" s="5" t="s">
        <v>28</v>
      </c>
      <c r="B6" s="6" t="s">
        <v>16</v>
      </c>
      <c r="C6" s="6" t="s">
        <v>29</v>
      </c>
      <c r="D6" s="7" t="s">
        <v>18</v>
      </c>
      <c r="E6" s="6" t="s">
        <v>19</v>
      </c>
      <c r="F6" s="6" t="s">
        <v>30</v>
      </c>
      <c r="G6" s="6" t="s">
        <v>31</v>
      </c>
      <c r="H6" s="6" t="s">
        <v>32</v>
      </c>
      <c r="I6" s="7" t="s">
        <v>33</v>
      </c>
      <c r="J6" s="7" t="s">
        <v>24</v>
      </c>
      <c r="K6" s="6" t="s">
        <v>34</v>
      </c>
      <c r="L6" s="6" t="s">
        <v>35</v>
      </c>
      <c r="M6" s="7" t="s">
        <v>27</v>
      </c>
    </row>
    <row r="7" customFormat="false" ht="34.5" hidden="false" customHeight="true" outlineLevel="0" collapsed="false">
      <c r="A7" s="5" t="s">
        <v>36</v>
      </c>
      <c r="B7" s="6" t="s">
        <v>16</v>
      </c>
      <c r="C7" s="6" t="s">
        <v>37</v>
      </c>
      <c r="D7" s="7" t="s">
        <v>38</v>
      </c>
      <c r="E7" s="6" t="s">
        <v>39</v>
      </c>
      <c r="F7" s="6" t="s">
        <v>40</v>
      </c>
      <c r="G7" s="6" t="s">
        <v>41</v>
      </c>
      <c r="H7" s="6" t="s">
        <v>22</v>
      </c>
      <c r="I7" s="7" t="s">
        <v>42</v>
      </c>
      <c r="J7" s="7" t="s">
        <v>24</v>
      </c>
      <c r="K7" s="6" t="s">
        <v>43</v>
      </c>
      <c r="L7" s="6" t="s">
        <v>35</v>
      </c>
      <c r="M7" s="7" t="s">
        <v>27</v>
      </c>
    </row>
    <row r="8" customFormat="false" ht="15" hidden="false" customHeight="true" outlineLevel="0" collapsed="false">
      <c r="A8" s="5" t="s">
        <v>44</v>
      </c>
      <c r="B8" s="6" t="s">
        <v>16</v>
      </c>
      <c r="C8" s="6" t="s">
        <v>45</v>
      </c>
      <c r="D8" s="7" t="s">
        <v>38</v>
      </c>
      <c r="E8" s="6" t="s">
        <v>39</v>
      </c>
      <c r="F8" s="6" t="s">
        <v>46</v>
      </c>
      <c r="G8" s="6" t="s">
        <v>41</v>
      </c>
      <c r="H8" s="6" t="s">
        <v>22</v>
      </c>
      <c r="I8" s="7" t="s">
        <v>47</v>
      </c>
      <c r="J8" s="7" t="s">
        <v>48</v>
      </c>
      <c r="K8" s="6" t="s">
        <v>49</v>
      </c>
      <c r="L8" s="6" t="s">
        <v>35</v>
      </c>
      <c r="M8" s="7" t="s">
        <v>27</v>
      </c>
    </row>
    <row r="9" customFormat="false" ht="23.25" hidden="false" customHeight="true" outlineLevel="0" collapsed="false">
      <c r="A9" s="5" t="s">
        <v>50</v>
      </c>
      <c r="B9" s="6" t="s">
        <v>16</v>
      </c>
      <c r="C9" s="6" t="s">
        <v>51</v>
      </c>
      <c r="D9" s="7" t="s">
        <v>52</v>
      </c>
      <c r="E9" s="6" t="s">
        <v>39</v>
      </c>
      <c r="F9" s="6" t="s">
        <v>53</v>
      </c>
      <c r="G9" s="6" t="s">
        <v>41</v>
      </c>
      <c r="H9" s="6" t="s">
        <v>22</v>
      </c>
      <c r="I9" s="7" t="s">
        <v>47</v>
      </c>
      <c r="J9" s="7" t="s">
        <v>54</v>
      </c>
      <c r="K9" s="6" t="s">
        <v>55</v>
      </c>
      <c r="L9" s="6" t="s">
        <v>35</v>
      </c>
      <c r="M9" s="7" t="s">
        <v>27</v>
      </c>
    </row>
    <row r="10" customFormat="false" ht="23.25" hidden="false" customHeight="true" outlineLevel="0" collapsed="false">
      <c r="A10" s="5" t="s">
        <v>56</v>
      </c>
      <c r="B10" s="6" t="s">
        <v>16</v>
      </c>
      <c r="C10" s="6" t="s">
        <v>57</v>
      </c>
      <c r="D10" s="7" t="s">
        <v>58</v>
      </c>
      <c r="E10" s="6" t="s">
        <v>39</v>
      </c>
      <c r="F10" s="6" t="s">
        <v>59</v>
      </c>
      <c r="G10" s="6" t="s">
        <v>60</v>
      </c>
      <c r="H10" s="6" t="s">
        <v>22</v>
      </c>
      <c r="I10" s="7" t="s">
        <v>47</v>
      </c>
      <c r="J10" s="7" t="s">
        <v>24</v>
      </c>
      <c r="K10" s="6" t="s">
        <v>61</v>
      </c>
      <c r="L10" s="6" t="s">
        <v>35</v>
      </c>
      <c r="M10" s="7" t="s">
        <v>27</v>
      </c>
    </row>
    <row r="11" customFormat="false" ht="15" hidden="false" customHeight="true" outlineLevel="0" collapsed="false">
      <c r="A11" s="5" t="s">
        <v>62</v>
      </c>
      <c r="B11" s="6" t="s">
        <v>16</v>
      </c>
      <c r="C11" s="6" t="s">
        <v>63</v>
      </c>
      <c r="D11" s="7" t="s">
        <v>64</v>
      </c>
      <c r="E11" s="6" t="s">
        <v>39</v>
      </c>
      <c r="F11" s="6" t="s">
        <v>46</v>
      </c>
      <c r="G11" s="6" t="s">
        <v>60</v>
      </c>
      <c r="H11" s="6" t="s">
        <v>22</v>
      </c>
      <c r="I11" s="7" t="s">
        <v>47</v>
      </c>
      <c r="J11" s="7" t="s">
        <v>24</v>
      </c>
      <c r="K11" s="6" t="s">
        <v>65</v>
      </c>
      <c r="L11" s="6" t="s">
        <v>35</v>
      </c>
      <c r="M11" s="7" t="s">
        <v>27</v>
      </c>
    </row>
    <row r="12" customFormat="false" ht="15" hidden="false" customHeight="true" outlineLevel="0" collapsed="false">
      <c r="A12" s="5" t="s">
        <v>66</v>
      </c>
      <c r="B12" s="6" t="s">
        <v>16</v>
      </c>
      <c r="C12" s="6" t="s">
        <v>67</v>
      </c>
      <c r="D12" s="7" t="s">
        <v>68</v>
      </c>
      <c r="E12" s="6" t="s">
        <v>2</v>
      </c>
      <c r="F12" s="6" t="s">
        <v>69</v>
      </c>
      <c r="G12" s="6" t="s">
        <v>70</v>
      </c>
      <c r="H12" s="6" t="s">
        <v>22</v>
      </c>
      <c r="I12" s="7" t="s">
        <v>23</v>
      </c>
      <c r="J12" s="7" t="s">
        <v>48</v>
      </c>
      <c r="K12" s="6" t="s">
        <v>71</v>
      </c>
      <c r="L12" s="6" t="s">
        <v>35</v>
      </c>
      <c r="M12" s="7" t="s">
        <v>27</v>
      </c>
    </row>
    <row r="13" customFormat="false" ht="23.25" hidden="false" customHeight="true" outlineLevel="0" collapsed="false">
      <c r="A13" s="5" t="s">
        <v>72</v>
      </c>
      <c r="B13" s="6" t="s">
        <v>16</v>
      </c>
      <c r="C13" s="6" t="s">
        <v>73</v>
      </c>
      <c r="D13" s="7" t="s">
        <v>74</v>
      </c>
      <c r="E13" s="6" t="s">
        <v>75</v>
      </c>
      <c r="F13" s="6" t="s">
        <v>76</v>
      </c>
      <c r="G13" s="6" t="s">
        <v>77</v>
      </c>
      <c r="H13" s="6" t="s">
        <v>22</v>
      </c>
      <c r="I13" s="7" t="s">
        <v>47</v>
      </c>
      <c r="J13" s="7" t="s">
        <v>48</v>
      </c>
      <c r="K13" s="6" t="s">
        <v>78</v>
      </c>
      <c r="L13" s="6" t="s">
        <v>35</v>
      </c>
      <c r="M13" s="7" t="s">
        <v>27</v>
      </c>
    </row>
    <row r="14" customFormat="false" ht="23.25" hidden="false" customHeight="true" outlineLevel="0" collapsed="false">
      <c r="A14" s="5" t="s">
        <v>79</v>
      </c>
      <c r="B14" s="6" t="s">
        <v>16</v>
      </c>
      <c r="C14" s="6" t="s">
        <v>80</v>
      </c>
      <c r="D14" s="7" t="s">
        <v>38</v>
      </c>
      <c r="E14" s="6" t="s">
        <v>2</v>
      </c>
      <c r="F14" s="6" t="s">
        <v>81</v>
      </c>
      <c r="G14" s="6" t="s">
        <v>82</v>
      </c>
      <c r="H14" s="6" t="s">
        <v>83</v>
      </c>
      <c r="I14" s="7" t="s">
        <v>83</v>
      </c>
      <c r="J14" s="7" t="s">
        <v>84</v>
      </c>
      <c r="K14" s="6" t="s">
        <v>85</v>
      </c>
      <c r="L14" s="6" t="s">
        <v>83</v>
      </c>
      <c r="M14" s="7" t="s">
        <v>27</v>
      </c>
    </row>
    <row r="15" customFormat="false" ht="23.25" hidden="false" customHeight="true" outlineLevel="0" collapsed="false">
      <c r="A15" s="5" t="s">
        <v>86</v>
      </c>
      <c r="B15" s="6" t="s">
        <v>87</v>
      </c>
      <c r="C15" s="6" t="s">
        <v>88</v>
      </c>
      <c r="D15" s="7" t="s">
        <v>89</v>
      </c>
      <c r="E15" s="6" t="s">
        <v>90</v>
      </c>
      <c r="F15" s="6" t="s">
        <v>91</v>
      </c>
      <c r="G15" s="6" t="s">
        <v>92</v>
      </c>
      <c r="H15" s="6" t="s">
        <v>93</v>
      </c>
      <c r="I15" s="7" t="s">
        <v>83</v>
      </c>
      <c r="J15" s="7" t="s">
        <v>48</v>
      </c>
      <c r="K15" s="6" t="s">
        <v>94</v>
      </c>
      <c r="L15" s="6" t="s">
        <v>95</v>
      </c>
      <c r="M15" s="7" t="s">
        <v>27</v>
      </c>
    </row>
    <row r="16" customFormat="false" ht="15" hidden="false" customHeight="true" outlineLevel="0" collapsed="false">
      <c r="A16" s="5" t="s">
        <v>96</v>
      </c>
      <c r="B16" s="6" t="s">
        <v>87</v>
      </c>
      <c r="C16" s="6" t="s">
        <v>97</v>
      </c>
      <c r="D16" s="7" t="s">
        <v>98</v>
      </c>
      <c r="E16" s="6" t="s">
        <v>90</v>
      </c>
      <c r="F16" s="6" t="s">
        <v>91</v>
      </c>
      <c r="G16" s="6" t="s">
        <v>92</v>
      </c>
      <c r="H16" s="6" t="s">
        <v>93</v>
      </c>
      <c r="I16" s="7" t="s">
        <v>83</v>
      </c>
      <c r="J16" s="7" t="s">
        <v>24</v>
      </c>
      <c r="K16" s="6" t="s">
        <v>99</v>
      </c>
      <c r="L16" s="6" t="s">
        <v>95</v>
      </c>
      <c r="M16" s="7" t="s">
        <v>27</v>
      </c>
    </row>
    <row r="17" customFormat="false" ht="23.25" hidden="false" customHeight="true" outlineLevel="0" collapsed="false">
      <c r="A17" s="5" t="s">
        <v>100</v>
      </c>
      <c r="B17" s="6" t="s">
        <v>101</v>
      </c>
      <c r="C17" s="6" t="s">
        <v>102</v>
      </c>
      <c r="D17" s="7" t="s">
        <v>103</v>
      </c>
      <c r="E17" s="6" t="s">
        <v>104</v>
      </c>
      <c r="F17" s="6" t="s">
        <v>105</v>
      </c>
      <c r="G17" s="6" t="s">
        <v>106</v>
      </c>
      <c r="H17" s="6" t="s">
        <v>107</v>
      </c>
      <c r="I17" s="7" t="s">
        <v>23</v>
      </c>
      <c r="J17" s="7" t="s">
        <v>24</v>
      </c>
      <c r="K17" s="6" t="s">
        <v>108</v>
      </c>
      <c r="L17" s="6" t="s">
        <v>109</v>
      </c>
      <c r="M17" s="7" t="s">
        <v>27</v>
      </c>
    </row>
    <row r="18" customFormat="false" ht="23.25" hidden="false" customHeight="true" outlineLevel="0" collapsed="false">
      <c r="A18" s="5" t="s">
        <v>110</v>
      </c>
      <c r="B18" s="6" t="s">
        <v>111</v>
      </c>
      <c r="C18" s="6" t="s">
        <v>112</v>
      </c>
      <c r="D18" s="7" t="s">
        <v>113</v>
      </c>
      <c r="E18" s="6" t="s">
        <v>114</v>
      </c>
      <c r="F18" s="6" t="s">
        <v>115</v>
      </c>
      <c r="G18" s="6" t="s">
        <v>116</v>
      </c>
      <c r="H18" s="6" t="s">
        <v>117</v>
      </c>
      <c r="I18" s="7" t="s">
        <v>33</v>
      </c>
      <c r="J18" s="7" t="s">
        <v>48</v>
      </c>
      <c r="K18" s="6" t="s">
        <v>118</v>
      </c>
      <c r="L18" s="6" t="s">
        <v>119</v>
      </c>
      <c r="M18" s="7" t="s">
        <v>27</v>
      </c>
    </row>
    <row r="19" customFormat="false" ht="23.25" hidden="false" customHeight="true" outlineLevel="0" collapsed="false">
      <c r="A19" s="5" t="s">
        <v>120</v>
      </c>
      <c r="B19" s="6" t="s">
        <v>111</v>
      </c>
      <c r="C19" s="6" t="s">
        <v>121</v>
      </c>
      <c r="D19" s="7" t="s">
        <v>122</v>
      </c>
      <c r="E19" s="6" t="s">
        <v>39</v>
      </c>
      <c r="F19" s="6" t="s">
        <v>76</v>
      </c>
      <c r="G19" s="6" t="s">
        <v>123</v>
      </c>
      <c r="H19" s="6" t="s">
        <v>117</v>
      </c>
      <c r="I19" s="7" t="s">
        <v>47</v>
      </c>
      <c r="J19" s="7" t="s">
        <v>48</v>
      </c>
      <c r="K19" s="6" t="s">
        <v>124</v>
      </c>
      <c r="L19" s="6" t="s">
        <v>35</v>
      </c>
      <c r="M19" s="7" t="s">
        <v>27</v>
      </c>
    </row>
    <row r="20" customFormat="false" ht="23.25" hidden="false" customHeight="true" outlineLevel="0" collapsed="false">
      <c r="A20" s="5" t="s">
        <v>125</v>
      </c>
      <c r="B20" s="6" t="s">
        <v>111</v>
      </c>
      <c r="C20" s="6" t="s">
        <v>126</v>
      </c>
      <c r="D20" s="7" t="s">
        <v>127</v>
      </c>
      <c r="E20" s="6" t="s">
        <v>39</v>
      </c>
      <c r="F20" s="6" t="s">
        <v>128</v>
      </c>
      <c r="G20" s="6" t="s">
        <v>129</v>
      </c>
      <c r="H20" s="6" t="s">
        <v>117</v>
      </c>
      <c r="I20" s="7" t="s">
        <v>47</v>
      </c>
      <c r="J20" s="7" t="s">
        <v>54</v>
      </c>
      <c r="K20" s="6" t="s">
        <v>130</v>
      </c>
      <c r="L20" s="6" t="s">
        <v>131</v>
      </c>
      <c r="M20" s="7" t="s">
        <v>27</v>
      </c>
    </row>
    <row r="21" customFormat="false" ht="23.25" hidden="false" customHeight="true" outlineLevel="0" collapsed="false">
      <c r="A21" s="5" t="s">
        <v>132</v>
      </c>
      <c r="B21" s="6" t="s">
        <v>111</v>
      </c>
      <c r="C21" s="6" t="s">
        <v>133</v>
      </c>
      <c r="D21" s="7" t="s">
        <v>74</v>
      </c>
      <c r="E21" s="6" t="s">
        <v>134</v>
      </c>
      <c r="F21" s="6" t="s">
        <v>135</v>
      </c>
      <c r="G21" s="6" t="s">
        <v>136</v>
      </c>
      <c r="H21" s="6" t="s">
        <v>137</v>
      </c>
      <c r="I21" s="7" t="s">
        <v>138</v>
      </c>
      <c r="J21" s="7" t="s">
        <v>48</v>
      </c>
      <c r="K21" s="6" t="s">
        <v>139</v>
      </c>
      <c r="L21" s="6" t="s">
        <v>35</v>
      </c>
      <c r="M21" s="7" t="s">
        <v>27</v>
      </c>
    </row>
  </sheetData>
  <conditionalFormatting sqref="J5:J21">
    <cfRule type="cellIs" priority="2" operator="equal" aboveAverage="0" equalAverage="0" bottom="0" percent="0" rank="0" text="" dxfId="0">
      <formula>"Essentielle"</formula>
    </cfRule>
    <cfRule type="cellIs" priority="3" operator="equal" aboveAverage="0" equalAverage="0" bottom="0" percent="0" rank="0" text="" dxfId="1">
      <formula>"Utile"</formula>
    </cfRule>
    <cfRule type="cellIs" priority="4" operator="equal" aboveAverage="0" equalAverage="0" bottom="0" percent="0" rank="0" text="" dxfId="2">
      <formula>"À écarter"</formula>
    </cfRule>
  </conditionalFormatting>
  <conditionalFormatting sqref="M5:M21">
    <cfRule type="cellIs" priority="5" operator="equal" aboveAverage="0" equalAverage="0" bottom="0" percent="0" rank="0" text="" dxfId="0">
      <formula>"Terminé"</formula>
    </cfRule>
  </conditionalFormatting>
  <dataValidations count="2">
    <dataValidation allowBlank="false" errorStyle="stop" operator="between" showDropDown="false" showErrorMessage="false" showInputMessage="false" sqref="M5:M21" type="list">
      <formula1>"À faire,En cours,Terminé"</formula1>
      <formula2>0</formula2>
    </dataValidation>
    <dataValidation allowBlank="false" errorStyle="stop" operator="between" showDropDown="false" showErrorMessage="false" showInputMessage="false" sqref="J5:J21" type="list">
      <formula1>"Essentielle,Utile,Optionnelle,À écarter"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22"/>
  </cols>
  <sheetData>
    <row r="1" customFormat="false" ht="17.25" hidden="false" customHeight="true" outlineLevel="0" collapsed="false">
      <c r="A1" s="2" t="s">
        <v>140</v>
      </c>
    </row>
    <row r="3" customFormat="false" ht="15" hidden="false" customHeight="true" outlineLevel="0" collapsed="false">
      <c r="A3" s="8" t="s">
        <v>11</v>
      </c>
      <c r="B3" s="8" t="s">
        <v>141</v>
      </c>
    </row>
    <row r="4" customFormat="false" ht="15" hidden="false" customHeight="true" outlineLevel="0" collapsed="false">
      <c r="A4" s="9" t="s">
        <v>24</v>
      </c>
      <c r="B4" s="10" t="n">
        <f aca="false">COUNTIF('Dictionnaire de données'!$J$5:$J$21,A4)</f>
        <v>7</v>
      </c>
    </row>
    <row r="5" customFormat="false" ht="15" hidden="false" customHeight="true" outlineLevel="0" collapsed="false">
      <c r="A5" s="9" t="s">
        <v>48</v>
      </c>
      <c r="B5" s="10" t="n">
        <f aca="false">COUNTIF('Dictionnaire de données'!$J$5:$J$21,A5)</f>
        <v>7</v>
      </c>
    </row>
    <row r="6" customFormat="false" ht="15" hidden="false" customHeight="true" outlineLevel="0" collapsed="false">
      <c r="A6" s="9" t="s">
        <v>54</v>
      </c>
      <c r="B6" s="10" t="n">
        <f aca="false">COUNTIF('Dictionnaire de données'!$J$5:$J$21,A6)</f>
        <v>2</v>
      </c>
    </row>
    <row r="7" customFormat="false" ht="15" hidden="false" customHeight="true" outlineLevel="0" collapsed="false">
      <c r="A7" s="9" t="s">
        <v>84</v>
      </c>
      <c r="B7" s="10" t="n">
        <f aca="false">COUNTIF('Dictionnaire de données'!$J$5:$J$21,A7)</f>
        <v>1</v>
      </c>
    </row>
    <row r="8" customFormat="false" ht="15" hidden="false" customHeight="true" outlineLevel="0" collapsed="false">
      <c r="A8" s="11" t="s">
        <v>142</v>
      </c>
      <c r="B8" s="12" t="n">
        <f aca="false">SUM(B4:B7)</f>
        <v>17</v>
      </c>
    </row>
    <row r="10" customFormat="false" ht="15" hidden="false" customHeight="true" outlineLevel="0" collapsed="false">
      <c r="A10" s="13" t="s">
        <v>143</v>
      </c>
    </row>
    <row r="11" customFormat="false" ht="15" hidden="false" customHeight="true" outlineLevel="0" collapsed="false">
      <c r="A11" s="9" t="s">
        <v>22</v>
      </c>
      <c r="B11" s="10" t="n">
        <f aca="false">COUNTIF('Dictionnaire de données'!$H$5:$H$21,"*"&amp;A11&amp;"*")</f>
        <v>14</v>
      </c>
    </row>
    <row r="12" customFormat="false" ht="15" hidden="false" customHeight="true" outlineLevel="0" collapsed="false">
      <c r="A12" s="9" t="s">
        <v>144</v>
      </c>
      <c r="B12" s="10" t="n">
        <f aca="false">COUNTIF('Dictionnaire de données'!$H$5:$H$21,"*"&amp;A12&amp;"*")</f>
        <v>5</v>
      </c>
    </row>
    <row r="13" customFormat="false" ht="15" hidden="false" customHeight="true" outlineLevel="0" collapsed="false">
      <c r="A13" s="9" t="s">
        <v>93</v>
      </c>
      <c r="B13" s="10" t="n">
        <f aca="false">COUNTIF('Dictionnaire de données'!$H$5:$H$21,"*"&amp;A13&amp;"*")</f>
        <v>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00"/>
  </cols>
  <sheetData>
    <row r="1" customFormat="false" ht="17.25" hidden="false" customHeight="true" outlineLevel="0" collapsed="false">
      <c r="A1" s="2" t="s">
        <v>145</v>
      </c>
    </row>
    <row r="3" customFormat="false" ht="15" hidden="false" customHeight="true" outlineLevel="0" collapsed="false">
      <c r="A3" s="14" t="s">
        <v>146</v>
      </c>
      <c r="B3" s="14" t="s">
        <v>147</v>
      </c>
    </row>
    <row r="4" customFormat="false" ht="23.25" hidden="false" customHeight="true" outlineLevel="0" collapsed="false">
      <c r="A4" s="15" t="s">
        <v>148</v>
      </c>
      <c r="B4" s="16" t="s">
        <v>149</v>
      </c>
    </row>
    <row r="5" customFormat="false" ht="15" hidden="false" customHeight="true" outlineLevel="0" collapsed="false">
      <c r="A5" s="15" t="s">
        <v>150</v>
      </c>
      <c r="B5" s="16" t="s">
        <v>151</v>
      </c>
    </row>
    <row r="6" customFormat="false" ht="23.25" hidden="false" customHeight="true" outlineLevel="0" collapsed="false">
      <c r="A6" s="15" t="s">
        <v>152</v>
      </c>
      <c r="B6" s="16" t="s">
        <v>153</v>
      </c>
    </row>
    <row r="7" customFormat="false" ht="15" hidden="false" customHeight="true" outlineLevel="0" collapsed="false">
      <c r="A7" s="15" t="s">
        <v>154</v>
      </c>
      <c r="B7" s="16" t="s">
        <v>155</v>
      </c>
    </row>
    <row r="8" customFormat="false" ht="15" hidden="false" customHeight="true" outlineLevel="0" collapsed="false">
      <c r="A8" s="15" t="s">
        <v>156</v>
      </c>
      <c r="B8" s="16" t="s">
        <v>157</v>
      </c>
    </row>
    <row r="9" customFormat="false" ht="23.25" hidden="false" customHeight="true" outlineLevel="0" collapsed="false">
      <c r="A9" s="15" t="s">
        <v>158</v>
      </c>
      <c r="B9" s="16" t="s">
        <v>159</v>
      </c>
    </row>
    <row r="10" customFormat="false" ht="15" hidden="false" customHeight="true" outlineLevel="0" collapsed="false">
      <c r="A10" s="15" t="s">
        <v>131</v>
      </c>
      <c r="B10" s="16" t="s">
        <v>160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50"/>
    <col collapsed="false" customWidth="true" hidden="false" outlineLevel="0" max="3" min="3" style="1" width="30"/>
    <col collapsed="false" customWidth="true" hidden="false" outlineLevel="0" max="4" min="4" style="1" width="70"/>
    <col collapsed="false" customWidth="true" hidden="false" outlineLevel="0" max="5" min="5" style="1" width="50"/>
  </cols>
  <sheetData>
    <row r="1" customFormat="false" ht="17.25" hidden="false" customHeight="true" outlineLevel="0" collapsed="false">
      <c r="A1" s="2" t="s">
        <v>161</v>
      </c>
    </row>
    <row r="2" customFormat="false" ht="15" hidden="false" customHeight="true" outlineLevel="0" collapsed="false">
      <c r="A2" s="3" t="s">
        <v>162</v>
      </c>
    </row>
    <row r="4" customFormat="false" ht="15" hidden="false" customHeight="true" outlineLevel="0" collapsed="false">
      <c r="A4" s="17" t="s">
        <v>163</v>
      </c>
      <c r="B4" s="17" t="s">
        <v>164</v>
      </c>
      <c r="C4" s="17" t="s">
        <v>165</v>
      </c>
      <c r="D4" s="17" t="s">
        <v>166</v>
      </c>
      <c r="E4" s="17" t="s">
        <v>167</v>
      </c>
    </row>
    <row r="5" customFormat="false" ht="94.5" hidden="false" customHeight="true" outlineLevel="0" collapsed="false">
      <c r="A5" s="15" t="s">
        <v>168</v>
      </c>
      <c r="B5" s="16" t="s">
        <v>169</v>
      </c>
      <c r="C5" s="16" t="s">
        <v>170</v>
      </c>
      <c r="D5" s="16" t="s">
        <v>171</v>
      </c>
      <c r="E5" s="16" t="s">
        <v>172</v>
      </c>
    </row>
    <row r="6" customFormat="false" ht="94.5" hidden="false" customHeight="true" outlineLevel="0" collapsed="false">
      <c r="A6" s="15" t="s">
        <v>168</v>
      </c>
      <c r="B6" s="16" t="s">
        <v>169</v>
      </c>
      <c r="C6" s="16" t="s">
        <v>173</v>
      </c>
      <c r="D6" s="16" t="s">
        <v>174</v>
      </c>
      <c r="E6" s="16" t="s">
        <v>175</v>
      </c>
    </row>
    <row r="7" customFormat="false" ht="94.5" hidden="false" customHeight="true" outlineLevel="0" collapsed="false">
      <c r="A7" s="15" t="s">
        <v>168</v>
      </c>
      <c r="B7" s="16" t="s">
        <v>169</v>
      </c>
      <c r="C7" s="16" t="s">
        <v>176</v>
      </c>
      <c r="D7" s="16" t="s">
        <v>177</v>
      </c>
      <c r="E7" s="16" t="s">
        <v>178</v>
      </c>
    </row>
    <row r="8" customFormat="false" ht="94.5" hidden="false" customHeight="true" outlineLevel="0" collapsed="false">
      <c r="A8" s="15" t="s">
        <v>179</v>
      </c>
      <c r="B8" s="16" t="s">
        <v>180</v>
      </c>
      <c r="C8" s="16" t="s">
        <v>181</v>
      </c>
      <c r="D8" s="16" t="s">
        <v>182</v>
      </c>
      <c r="E8" s="16" t="s">
        <v>183</v>
      </c>
    </row>
    <row r="9" customFormat="false" ht="94.5" hidden="false" customHeight="true" outlineLevel="0" collapsed="false">
      <c r="A9" s="15" t="s">
        <v>184</v>
      </c>
      <c r="B9" s="16" t="s">
        <v>83</v>
      </c>
      <c r="C9" s="16" t="s">
        <v>185</v>
      </c>
      <c r="D9" s="16" t="s">
        <v>186</v>
      </c>
      <c r="E9" s="16" t="s">
        <v>187</v>
      </c>
    </row>
    <row r="10" customFormat="false" ht="69.75" hidden="false" customHeight="true" outlineLevel="0" collapsed="false">
      <c r="A10" s="15" t="s">
        <v>188</v>
      </c>
      <c r="B10" s="16" t="s">
        <v>189</v>
      </c>
      <c r="C10" s="16" t="s">
        <v>190</v>
      </c>
      <c r="D10" s="16" t="s">
        <v>191</v>
      </c>
      <c r="E10" s="16" t="s">
        <v>192</v>
      </c>
    </row>
    <row r="11" customFormat="false" ht="69.75" hidden="false" customHeight="true" outlineLevel="0" collapsed="false">
      <c r="A11" s="15" t="s">
        <v>188</v>
      </c>
      <c r="B11" s="16" t="s">
        <v>189</v>
      </c>
      <c r="C11" s="16" t="s">
        <v>193</v>
      </c>
      <c r="D11" s="16" t="s">
        <v>194</v>
      </c>
      <c r="E11" s="16" t="s">
        <v>195</v>
      </c>
    </row>
    <row r="12" customFormat="false" ht="69.75" hidden="false" customHeight="true" outlineLevel="0" collapsed="false">
      <c r="A12" s="15" t="s">
        <v>188</v>
      </c>
      <c r="B12" s="16" t="s">
        <v>189</v>
      </c>
      <c r="C12" s="16" t="s">
        <v>196</v>
      </c>
      <c r="D12" s="16" t="s">
        <v>197</v>
      </c>
      <c r="E12" s="16" t="s">
        <v>198</v>
      </c>
    </row>
    <row r="13" customFormat="false" ht="69.75" hidden="false" customHeight="true" outlineLevel="0" collapsed="false">
      <c r="A13" s="15" t="s">
        <v>188</v>
      </c>
      <c r="B13" s="16" t="s">
        <v>189</v>
      </c>
      <c r="C13" s="16" t="s">
        <v>199</v>
      </c>
      <c r="D13" s="16" t="s">
        <v>200</v>
      </c>
      <c r="E13" s="16" t="s">
        <v>201</v>
      </c>
    </row>
    <row r="14" customFormat="false" ht="69.75" hidden="false" customHeight="true" outlineLevel="0" collapsed="false">
      <c r="A14" s="15" t="s">
        <v>188</v>
      </c>
      <c r="B14" s="16" t="s">
        <v>189</v>
      </c>
      <c r="C14" s="16" t="s">
        <v>202</v>
      </c>
      <c r="D14" s="16" t="s">
        <v>203</v>
      </c>
      <c r="E14" s="16" t="s">
        <v>204</v>
      </c>
    </row>
    <row r="16" customFormat="false" ht="15" hidden="false" customHeight="true" outlineLevel="0" collapsed="false">
      <c r="A16" s="18" t="s">
        <v>205</v>
      </c>
    </row>
    <row r="17" customFormat="false" ht="94.5" hidden="false" customHeight="true" outlineLevel="0" collapsed="false">
      <c r="A17" s="19" t="s">
        <v>206</v>
      </c>
      <c r="B17" s="19"/>
      <c r="C17" s="19"/>
      <c r="D17" s="19"/>
      <c r="E17" s="19"/>
    </row>
  </sheetData>
  <mergeCells count="1">
    <mergeCell ref="A17:E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28"/>
    <col collapsed="false" customWidth="true" hidden="false" outlineLevel="0" max="3" min="3" style="1" width="48"/>
    <col collapsed="false" customWidth="true" hidden="false" outlineLevel="0" max="4" min="4" style="1" width="70"/>
    <col collapsed="false" customWidth="true" hidden="false" outlineLevel="0" max="5" min="5" style="1" width="60"/>
  </cols>
  <sheetData>
    <row r="1" customFormat="false" ht="17.25" hidden="false" customHeight="true" outlineLevel="0" collapsed="false">
      <c r="A1" s="2" t="s">
        <v>207</v>
      </c>
    </row>
    <row r="2" customFormat="false" ht="15" hidden="false" customHeight="true" outlineLevel="0" collapsed="false">
      <c r="A2" s="20" t="s">
        <v>208</v>
      </c>
    </row>
    <row r="4" customFormat="false" ht="15" hidden="false" customHeight="true" outlineLevel="0" collapsed="false">
      <c r="A4" s="17" t="s">
        <v>8</v>
      </c>
      <c r="B4" s="17" t="s">
        <v>163</v>
      </c>
      <c r="C4" s="17" t="s">
        <v>164</v>
      </c>
      <c r="D4" s="17" t="s">
        <v>166</v>
      </c>
      <c r="E4" s="17" t="s">
        <v>209</v>
      </c>
    </row>
    <row r="5" customFormat="false" ht="34.5" hidden="false" customHeight="true" outlineLevel="0" collapsed="false">
      <c r="A5" s="16" t="s">
        <v>210</v>
      </c>
      <c r="B5" s="16" t="s">
        <v>211</v>
      </c>
      <c r="C5" s="16" t="s">
        <v>212</v>
      </c>
      <c r="D5" s="16" t="s">
        <v>213</v>
      </c>
      <c r="E5" s="16" t="s">
        <v>214</v>
      </c>
    </row>
    <row r="6" customFormat="false" ht="34.5" hidden="false" customHeight="true" outlineLevel="0" collapsed="false">
      <c r="A6" s="16" t="s">
        <v>210</v>
      </c>
      <c r="B6" s="16" t="s">
        <v>215</v>
      </c>
      <c r="C6" s="16" t="s">
        <v>216</v>
      </c>
      <c r="D6" s="16" t="s">
        <v>217</v>
      </c>
      <c r="E6" s="16" t="s">
        <v>218</v>
      </c>
    </row>
    <row r="7" customFormat="false" ht="23.25" hidden="false" customHeight="true" outlineLevel="0" collapsed="false">
      <c r="A7" s="16" t="s">
        <v>210</v>
      </c>
      <c r="B7" s="16" t="s">
        <v>219</v>
      </c>
      <c r="C7" s="16" t="s">
        <v>220</v>
      </c>
      <c r="D7" s="16" t="s">
        <v>221</v>
      </c>
      <c r="E7" s="16" t="s">
        <v>222</v>
      </c>
    </row>
    <row r="8" customFormat="false" ht="45.75" hidden="false" customHeight="true" outlineLevel="0" collapsed="false">
      <c r="A8" s="16" t="s">
        <v>223</v>
      </c>
      <c r="B8" s="16" t="s">
        <v>224</v>
      </c>
      <c r="C8" s="16" t="s">
        <v>225</v>
      </c>
      <c r="D8" s="16" t="s">
        <v>226</v>
      </c>
      <c r="E8" s="16" t="s">
        <v>227</v>
      </c>
    </row>
    <row r="9" customFormat="false" ht="23.25" hidden="false" customHeight="true" outlineLevel="0" collapsed="false">
      <c r="A9" s="16" t="s">
        <v>223</v>
      </c>
      <c r="B9" s="16" t="s">
        <v>228</v>
      </c>
      <c r="C9" s="16" t="s">
        <v>229</v>
      </c>
      <c r="D9" s="16" t="s">
        <v>230</v>
      </c>
      <c r="E9" s="16" t="s">
        <v>231</v>
      </c>
    </row>
    <row r="10" customFormat="false" ht="23.25" hidden="false" customHeight="true" outlineLevel="0" collapsed="false">
      <c r="A10" s="16" t="s">
        <v>223</v>
      </c>
      <c r="B10" s="16" t="s">
        <v>232</v>
      </c>
      <c r="C10" s="16" t="s">
        <v>233</v>
      </c>
      <c r="D10" s="16" t="s">
        <v>234</v>
      </c>
      <c r="E10" s="16" t="s">
        <v>235</v>
      </c>
    </row>
    <row r="11" customFormat="false" ht="45.75" hidden="false" customHeight="true" outlineLevel="0" collapsed="false">
      <c r="A11" s="16" t="s">
        <v>236</v>
      </c>
      <c r="B11" s="16" t="s">
        <v>237</v>
      </c>
      <c r="C11" s="16" t="s">
        <v>238</v>
      </c>
      <c r="D11" s="16" t="s">
        <v>239</v>
      </c>
      <c r="E11" s="16" t="s">
        <v>240</v>
      </c>
    </row>
    <row r="12" customFormat="false" ht="23.25" hidden="false" customHeight="true" outlineLevel="0" collapsed="false">
      <c r="A12" s="16" t="s">
        <v>236</v>
      </c>
      <c r="B12" s="16" t="s">
        <v>241</v>
      </c>
      <c r="C12" s="16" t="s">
        <v>242</v>
      </c>
      <c r="D12" s="16" t="s">
        <v>243</v>
      </c>
      <c r="E12" s="16" t="s">
        <v>244</v>
      </c>
    </row>
    <row r="13" customFormat="false" ht="23.25" hidden="false" customHeight="true" outlineLevel="0" collapsed="false">
      <c r="A13" s="16" t="s">
        <v>236</v>
      </c>
      <c r="B13" s="16" t="s">
        <v>245</v>
      </c>
      <c r="C13" s="16" t="s">
        <v>246</v>
      </c>
      <c r="D13" s="16" t="s">
        <v>247</v>
      </c>
      <c r="E13" s="16" t="s">
        <v>248</v>
      </c>
    </row>
    <row r="14" customFormat="false" ht="34.5" hidden="false" customHeight="true" outlineLevel="0" collapsed="false">
      <c r="A14" s="16" t="s">
        <v>249</v>
      </c>
      <c r="B14" s="16" t="s">
        <v>250</v>
      </c>
      <c r="C14" s="16" t="s">
        <v>251</v>
      </c>
      <c r="D14" s="16" t="s">
        <v>252</v>
      </c>
      <c r="E14" s="16" t="s">
        <v>253</v>
      </c>
    </row>
    <row r="15" customFormat="false" ht="34.5" hidden="false" customHeight="true" outlineLevel="0" collapsed="false">
      <c r="A15" s="16" t="s">
        <v>249</v>
      </c>
      <c r="B15" s="16" t="s">
        <v>254</v>
      </c>
      <c r="C15" s="16" t="s">
        <v>255</v>
      </c>
      <c r="D15" s="16" t="s">
        <v>256</v>
      </c>
      <c r="E15" s="16" t="s">
        <v>257</v>
      </c>
    </row>
    <row r="16" customFormat="false" ht="45.75" hidden="false" customHeight="true" outlineLevel="0" collapsed="false">
      <c r="A16" s="18" t="s">
        <v>258</v>
      </c>
      <c r="B16" s="1" t="s">
        <v>259</v>
      </c>
      <c r="C16" s="1" t="s">
        <v>260</v>
      </c>
      <c r="D16" s="1" t="s">
        <v>261</v>
      </c>
      <c r="E16" s="1" t="s">
        <v>262</v>
      </c>
    </row>
    <row r="17" customFormat="false" ht="15" hidden="false" customHeight="true" outlineLevel="0" collapsed="false">
      <c r="A17" s="1" t="s">
        <v>258</v>
      </c>
      <c r="B17" s="1" t="s">
        <v>263</v>
      </c>
      <c r="C17" s="1" t="s">
        <v>264</v>
      </c>
      <c r="D17" s="1" t="s">
        <v>265</v>
      </c>
      <c r="E17" s="1" t="s">
        <v>266</v>
      </c>
    </row>
    <row r="18" customFormat="false" ht="15" hidden="false" customHeight="true" outlineLevel="0" collapsed="false">
      <c r="A18" s="16" t="s">
        <v>267</v>
      </c>
      <c r="B18" s="16" t="s">
        <v>268</v>
      </c>
      <c r="C18" s="16" t="s">
        <v>269</v>
      </c>
      <c r="D18" s="16" t="s">
        <v>270</v>
      </c>
      <c r="E18" s="16" t="s">
        <v>271</v>
      </c>
    </row>
    <row r="19" customFormat="false" ht="15" hidden="false" customHeight="false" outlineLevel="0" collapsed="false">
      <c r="A19" s="16" t="s">
        <v>272</v>
      </c>
    </row>
    <row r="21" customFormat="false" ht="15" hidden="false" customHeight="true" outlineLevel="0" collapsed="false">
      <c r="A21" s="18" t="s">
        <v>205</v>
      </c>
    </row>
    <row r="22" customFormat="false" ht="75" hidden="false" customHeight="true" outlineLevel="0" collapsed="false">
      <c r="A22" s="19" t="s">
        <v>273</v>
      </c>
      <c r="B22" s="19"/>
      <c r="C22" s="19"/>
      <c r="D22" s="19"/>
      <c r="E22" s="19"/>
    </row>
  </sheetData>
  <mergeCells count="1">
    <mergeCell ref="A22:E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4"/>
    <col collapsed="false" customWidth="true" hidden="false" outlineLevel="0" max="3" min="3" style="1" width="26"/>
    <col collapsed="false" customWidth="true" hidden="false" outlineLevel="0" max="4" min="4" style="1" width="40"/>
    <col collapsed="false" customWidth="true" hidden="false" outlineLevel="0" max="5" min="5" style="1" width="36"/>
    <col collapsed="false" customWidth="true" hidden="false" outlineLevel="0" max="6" min="6" style="1" width="44"/>
    <col collapsed="false" customWidth="true" hidden="false" outlineLevel="0" max="7" min="7" style="1" width="40"/>
    <col collapsed="false" customWidth="true" hidden="false" outlineLevel="0" max="8" min="8" style="1" width="52"/>
    <col collapsed="false" customWidth="true" hidden="false" outlineLevel="0" max="9" min="9" style="1" width="14"/>
    <col collapsed="false" customWidth="true" hidden="false" outlineLevel="0" max="10" min="10" style="1" width="22"/>
    <col collapsed="false" customWidth="true" hidden="false" outlineLevel="0" max="11" min="11" style="1" width="44"/>
    <col collapsed="false" customWidth="true" hidden="false" outlineLevel="0" max="12" min="12" style="1" width="18"/>
  </cols>
  <sheetData>
    <row r="1" customFormat="false" ht="17.25" hidden="false" customHeight="true" outlineLevel="0" collapsed="false">
      <c r="A1" s="2" t="s">
        <v>274</v>
      </c>
    </row>
    <row r="2" customFormat="false" ht="15" hidden="false" customHeight="true" outlineLevel="0" collapsed="false">
      <c r="A2" s="20" t="s">
        <v>275</v>
      </c>
    </row>
    <row r="4" customFormat="false" ht="30" hidden="false" customHeight="true" outlineLevel="0" collapsed="false">
      <c r="A4" s="17" t="s">
        <v>276</v>
      </c>
      <c r="B4" s="17" t="s">
        <v>277</v>
      </c>
      <c r="C4" s="17" t="s">
        <v>278</v>
      </c>
      <c r="D4" s="17" t="s">
        <v>279</v>
      </c>
      <c r="E4" s="17" t="s">
        <v>280</v>
      </c>
      <c r="F4" s="17" t="s">
        <v>281</v>
      </c>
      <c r="G4" s="17" t="s">
        <v>282</v>
      </c>
      <c r="H4" s="17" t="s">
        <v>283</v>
      </c>
      <c r="I4" s="17" t="s">
        <v>284</v>
      </c>
      <c r="J4" s="17" t="s">
        <v>14</v>
      </c>
      <c r="K4" s="17" t="s">
        <v>285</v>
      </c>
      <c r="L4" s="17" t="s">
        <v>286</v>
      </c>
    </row>
    <row r="5" customFormat="false" ht="57" hidden="false" customHeight="true" outlineLevel="0" collapsed="false">
      <c r="A5" s="16" t="s">
        <v>287</v>
      </c>
      <c r="B5" s="21" t="n">
        <v>46321</v>
      </c>
      <c r="C5" s="16" t="s">
        <v>288</v>
      </c>
      <c r="D5" s="16" t="s">
        <v>289</v>
      </c>
      <c r="E5" s="16" t="s">
        <v>290</v>
      </c>
      <c r="F5" s="16" t="s">
        <v>291</v>
      </c>
      <c r="G5" s="16" t="s">
        <v>292</v>
      </c>
      <c r="H5" s="16" t="s">
        <v>293</v>
      </c>
      <c r="I5" s="21"/>
      <c r="J5" s="16" t="s">
        <v>294</v>
      </c>
      <c r="K5" s="16" t="s">
        <v>295</v>
      </c>
      <c r="L5" s="16" t="s">
        <v>296</v>
      </c>
    </row>
    <row r="6" customFormat="false" ht="79.5" hidden="false" customHeight="true" outlineLevel="0" collapsed="false">
      <c r="A6" s="16" t="s">
        <v>297</v>
      </c>
      <c r="B6" s="21" t="n">
        <v>46321</v>
      </c>
      <c r="C6" s="16" t="s">
        <v>298</v>
      </c>
      <c r="D6" s="16" t="s">
        <v>299</v>
      </c>
      <c r="E6" s="16" t="s">
        <v>300</v>
      </c>
      <c r="F6" s="16" t="s">
        <v>301</v>
      </c>
      <c r="G6" s="16" t="s">
        <v>302</v>
      </c>
      <c r="H6" s="16" t="s">
        <v>303</v>
      </c>
      <c r="I6" s="21" t="n">
        <v>46321</v>
      </c>
      <c r="J6" s="16" t="s">
        <v>304</v>
      </c>
      <c r="K6" s="16" t="s">
        <v>305</v>
      </c>
      <c r="L6" s="16" t="s">
        <v>306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2026-10-26T14:26:39Z</dcterms:created>
  <dc:creator>openpyxl</dc:creator>
  <dc:description/>
  <dc:language>en-US</dc:language>
  <cp:lastModifiedBy/>
  <dcterms:modified xsi:type="dcterms:W3CDTF">2026-10-26T20:40:13Z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