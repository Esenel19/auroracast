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ictionnaire de données" sheetId="1" state="visible" r:id="rId3"/>
    <sheet name="Synthèse" sheetId="2" state="visible" r:id="rId4"/>
    <sheet name="Notes" sheetId="3" state="visible" r:id="rId5"/>
    <sheet name="Vérification CGU" sheetId="4" state="visible" r:id="rId6"/>
    <sheet name="Vérification CGU sources" sheetId="5" state="visible" r:id="rId7"/>
    <sheet name="Journal des incident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<sst xmlns="http://schemas.openxmlformats.org/spreadsheetml/2006/main" count="560" uniqueCount="386">
  <si>
    <t xml:space="preserve">AuroraCast – Dictionnaire de données (activité aurorale et solaire)</t>
  </si>
  <si>
    <t xml:space="preserve">Compétence visée : C1.2.1 (modèle de données) et C1.1.1 (stratégie de collecte). Les cellules « À vérifier » doivent être confirmées avant l'implémentation.</t>
  </si>
  <si>
    <t xml:space="preserve">Variable</t>
  </si>
  <si>
    <t xml:space="preserve">Catégorie</t>
  </si>
  <si>
    <t xml:space="preserve">Définition</t>
  </si>
  <si>
    <t xml:space="preserve">Unité</t>
  </si>
  <si>
    <t xml:space="preserve">Résolution à la source</t>
  </si>
  <si>
    <t xml:space="preserve">Fréquence de collecte conseillée</t>
  </si>
  <si>
    <t xml:space="preserve">Source</t>
  </si>
  <si>
    <t xml:space="preserve">Méthode</t>
  </si>
  <si>
    <t xml:space="preserve">Horizon de prévision</t>
  </si>
  <si>
    <t xml:space="preserve">Priorité</t>
  </si>
  <si>
    <t xml:space="preserve">Utilité pour le projet</t>
  </si>
  <si>
    <t xml:space="preserve">Licence / CGU</t>
  </si>
  <si>
    <t xml:space="preserve">Statut</t>
  </si>
  <si>
    <t xml:space="preserve">Kp observé</t>
  </si>
  <si>
    <t xml:space="preserve">Activité aurorale</t>
  </si>
  <si>
    <t xml:space="preserve">Indice planétaire d'activité géomagnétique, calculé à partir de magnétomètres au sol</t>
  </si>
  <si>
    <t xml:space="preserve">Sans unité (0 à 9)</t>
  </si>
  <si>
    <t xml:space="preserve">3 heures</t>
  </si>
  <si>
    <t xml:space="preserve">Toutes les 3 h (relevé horaire avec dédoublonnage)</t>
  </si>
  <si>
    <t xml:space="preserve">NOAA SWPC (JSON) ; historique : GFZ Potsdam (Kp_ap_Ap_SN_F107_since_1932.txt)</t>
  </si>
  <si>
    <t xml:space="preserve">API</t>
  </si>
  <si>
    <t xml:space="preserve">Court et moyen terme</t>
  </si>
  <si>
    <t xml:space="preserve">Essentielle</t>
  </si>
  <si>
    <t xml:space="preserve">Mesure principale d'activité ; variable cible ou référence</t>
  </si>
  <si>
    <t xml:space="preserve">NOAA : données publiques (à citer) ; GFZ : CC BY 4.0 (taches solaires : CC BY-NC 4.0)</t>
  </si>
  <si>
    <t xml:space="preserve">Collecté (NOAA toutes les 3 h ; historique GFZ depuis 1932)</t>
  </si>
  <si>
    <t xml:space="preserve">Kp prévu (3 jours)</t>
  </si>
  <si>
    <t xml:space="preserve">Prévision NOAA du Kp, par tranche de 3 h</t>
  </si>
  <si>
    <t xml:space="preserve">1 à 2 fois par jour ; conserver la date d'émission</t>
  </si>
  <si>
    <t xml:space="preserve">NOAA SWPC (JSON/texte)</t>
  </si>
  <si>
    <t xml:space="preserve">API + scraping du texte</t>
  </si>
  <si>
    <t xml:space="preserve">Moyen terme (1 à 3 jours)</t>
  </si>
  <si>
    <t xml:space="preserve">Comparer prévu vs observé (monitoring, bloc 5)</t>
  </si>
  <si>
    <t xml:space="preserve">NOAA : données publiques (à citer)</t>
  </si>
  <si>
    <t xml:space="preserve">Collecté (NOAA toutes les 3 h, avec date d'émission)</t>
  </si>
  <si>
    <t xml:space="preserve">Bz (IMF)</t>
  </si>
  <si>
    <t xml:space="preserve">Composante nord-sud du champ magnétique interplanétaire ; négatif = énergie qui entre dans la magnétosphère</t>
  </si>
  <si>
    <t xml:space="preserve">nT</t>
  </si>
  <si>
    <t xml:space="preserve">Minute</t>
  </si>
  <si>
    <t xml:space="preserve">Toutes les 3 h (le flux garde environ 20 h) ; agrégé par heure : moyenne et minimum</t>
  </si>
  <si>
    <t xml:space="preserve">NOAA SWPC (JSON temps réel RTSW, /json/rtsw/rtsw_mag_1m.json)</t>
  </si>
  <si>
    <t xml:space="preserve">Court terme (30 à 60 min)</t>
  </si>
  <si>
    <t xml:space="preserve">Meilleur indicateur d'une aurore imminente</t>
  </si>
  <si>
    <t xml:space="preserve">Collecté (NOAA RTSW toutes les 3 h ; historique OMNIWeb depuis 2010)</t>
  </si>
  <si>
    <t xml:space="preserve">Bt (IMF)</t>
  </si>
  <si>
    <t xml:space="preserve">Intensité totale du champ magnétique interplanétaire</t>
  </si>
  <si>
    <t xml:space="preserve">1 fois par heure : moyenne</t>
  </si>
  <si>
    <t xml:space="preserve">Court terme</t>
  </si>
  <si>
    <t xml:space="preserve">Utile</t>
  </si>
  <si>
    <t xml:space="preserve">Complète Bz</t>
  </si>
  <si>
    <t xml:space="preserve">Direction IMF (Bx, By)</t>
  </si>
  <si>
    <t xml:space="preserve">Orientation du champ interplanétaire ; le signe de Bz est ce qui compte le plus</t>
  </si>
  <si>
    <t xml:space="preserve">nT / degrés</t>
  </si>
  <si>
    <t xml:space="preserve">1 fois par heure (optionnel)</t>
  </si>
  <si>
    <t xml:space="preserve">Optionnelle</t>
  </si>
  <si>
    <t xml:space="preserve">Peu utile au début ; à tester en sélection de variables</t>
  </si>
  <si>
    <t xml:space="preserve">Collecté (NOAA RTSW ; By GSM dans OMNIWeb)</t>
  </si>
  <si>
    <t xml:space="preserve">Vitesse du vent solaire</t>
  </si>
  <si>
    <t xml:space="preserve">Vitesse des particules du vent solaire</t>
  </si>
  <si>
    <t xml:space="preserve">km/s</t>
  </si>
  <si>
    <t xml:space="preserve">1 fois par heure : moyenne et maximum</t>
  </si>
  <si>
    <t xml:space="preserve">NOAA SWPC (JSON temps réel RTSW, /json/rtsw/rtsw_wind_1m.json)</t>
  </si>
  <si>
    <t xml:space="preserve">Plus le vent est rapide, plus l'effet est fort</t>
  </si>
  <si>
    <t xml:space="preserve">Densité du vent solaire</t>
  </si>
  <si>
    <t xml:space="preserve">Densité de particules du vent solaire</t>
  </si>
  <si>
    <t xml:space="preserve">p/cm³</t>
  </si>
  <si>
    <t xml:space="preserve">Amplifie l'effet de la vitesse</t>
  </si>
  <si>
    <t xml:space="preserve">Échelle de tempête G1 à G5</t>
  </si>
  <si>
    <t xml:space="preserve">Niveau de tempête géomagnétique dérivé du Kp</t>
  </si>
  <si>
    <t xml:space="preserve">Niveau 0 à 5</t>
  </si>
  <si>
    <t xml:space="preserve">Toutes les 3 h</t>
  </si>
  <si>
    <t xml:space="preserve">NOAA SWPC (JSON, noaa-scales)</t>
  </si>
  <si>
    <t xml:space="preserve">Étiquette lisible pour les agences et les alertes</t>
  </si>
  <si>
    <t xml:space="preserve">Collecté (NOAA toutes les 3 h)</t>
  </si>
  <si>
    <t xml:space="preserve">Alertes et avertissements</t>
  </si>
  <si>
    <t xml:space="preserve">Alertes, veilles et avertissements émis par NOAA (ex : Kp 5 attendu)</t>
  </si>
  <si>
    <t xml:space="preserve">Texte</t>
  </si>
  <si>
    <t xml:space="preserve">Événementielle</t>
  </si>
  <si>
    <t xml:space="preserve">Toutes les 3 h (le flux NOAA garde 30 jours)</t>
  </si>
  <si>
    <t xml:space="preserve">NOAA SWPC (JSON, alerts)</t>
  </si>
  <si>
    <t xml:space="preserve">Historiser les événements et déclencher des alertes</t>
  </si>
  <si>
    <t xml:space="preserve">Magnétomètre (brut)</t>
  </si>
  <si>
    <t xml:space="preserve">Mesures brutes des variations du champ magnétique (sol ou satellite)</t>
  </si>
  <si>
    <t xml:space="preserve">Non collecté</t>
  </si>
  <si>
    <t xml:space="preserve">À déterminer</t>
  </si>
  <si>
    <t xml:space="preserve">—</t>
  </si>
  <si>
    <t xml:space="preserve">À écarter</t>
  </si>
  <si>
    <t xml:space="preserve">Redondant avec le Kp, qui en est dérivé</t>
  </si>
  <si>
    <t xml:space="preserve">À faire</t>
  </si>
  <si>
    <t xml:space="preserve">Phase de la Lune</t>
  </si>
  <si>
    <t xml:space="preserve">Calculée</t>
  </si>
  <si>
    <t xml:space="preserve">Pourcentage d'illumination de la Lune ; une pleine Lune gêne la visibilité</t>
  </si>
  <si>
    <t xml:space="preserve">% (0 à 100)</t>
  </si>
  <si>
    <t xml:space="preserve">Calcul</t>
  </si>
  <si>
    <t xml:space="preserve">Calculée à la demande</t>
  </si>
  <si>
    <t xml:space="preserve">Bibliothèque astral / ephem</t>
  </si>
  <si>
    <t xml:space="preserve">Calcul local</t>
  </si>
  <si>
    <t xml:space="preserve">N'influence pas l'aurore mais la visibilité</t>
  </si>
  <si>
    <t xml:space="preserve">Sans objet (calcul)</t>
  </si>
  <si>
    <t xml:space="preserve">Nuit noire (début/fin)</t>
  </si>
  <si>
    <t xml:space="preserve">Période de nuit astronomique pour un lieu donné</t>
  </si>
  <si>
    <t xml:space="preserve">Heure locale</t>
  </si>
  <si>
    <t xml:space="preserve">Condition de visibilité de l'aurore</t>
  </si>
  <si>
    <t xml:space="preserve">Nébulosité</t>
  </si>
  <si>
    <t xml:space="preserve">Météo</t>
  </si>
  <si>
    <t xml:space="preserve">Part du ciel couverte par les nuages</t>
  </si>
  <si>
    <t xml:space="preserve">%</t>
  </si>
  <si>
    <t xml:space="preserve">Horaire</t>
  </si>
  <si>
    <t xml:space="preserve">1 fois par jour (prévision + observé de la veille)</t>
  </si>
  <si>
    <t xml:space="preserve">NOAA GHCNh (stations TROMSO, aéroport de Kiruna, gare de Rovaniemi) ; Open-Meteo écarté (robots.txt, INC-002)</t>
  </si>
  <si>
    <t xml:space="preserve">API (fichiers annuels)</t>
  </si>
  <si>
    <t xml:space="preserve">Un ciel couvert empêche de voir l'aurore</t>
  </si>
  <si>
    <t xml:space="preserve">NOAA GHCNh : CC0 (citer NOAA NCEI, DOI 10.25921/jp3d-3v19)</t>
  </si>
  <si>
    <t xml:space="preserve">Historique collecté (NOAA GHCNh 2010 → 24/10/2026) ; prévisions à faire</t>
  </si>
  <si>
    <t xml:space="preserve">Régions de taches solaires</t>
  </si>
  <si>
    <t xml:space="preserve">Activité solaire</t>
  </si>
  <si>
    <t xml:space="preserve">Taches actives et probabilités d'éruptions C/M/X</t>
  </si>
  <si>
    <t xml:space="preserve">Probabilité (%)</t>
  </si>
  <si>
    <t xml:space="preserve">Journalière</t>
  </si>
  <si>
    <t xml:space="preserve">1 fois par jour</t>
  </si>
  <si>
    <t xml:space="preserve">NOAA SWPC (JSON) ; SpaceWeatherLive (si CGU OK)</t>
  </si>
  <si>
    <t xml:space="preserve">API / scraping</t>
  </si>
  <si>
    <t xml:space="preserve">Les éruptions mettent 1 à 3 jours à avoir un effet</t>
  </si>
  <si>
    <t xml:space="preserve">NOAA : publiques ; SpaceWeatherLive : à vérifier (robots.txt OK, CGU à lire)</t>
  </si>
  <si>
    <t xml:space="preserve">Activité solaire dernière heure (rayons X)</t>
  </si>
  <si>
    <t xml:space="preserve">Flux de rayons X, classe d'éruption (A, B, C, M, X)</t>
  </si>
  <si>
    <t xml:space="preserve">W/m² / classe</t>
  </si>
  <si>
    <t xml:space="preserve">NOAA SWPC (JSON GOES) ; SpaceWeatherLive</t>
  </si>
  <si>
    <t xml:space="preserve">Détecte les éruptions en cours</t>
  </si>
  <si>
    <t xml:space="preserve">Protons de haute énergie</t>
  </si>
  <si>
    <t xml:space="preserve">Flux de protons énergétiques (échelle S)</t>
  </si>
  <si>
    <t xml:space="preserve">pfu</t>
  </si>
  <si>
    <t xml:space="preserve">1 fois par jour (optionnel)</t>
  </si>
  <si>
    <t xml:space="preserve">NOAA SWPC (à vérifier) ; SpaceWeatherLive</t>
  </si>
  <si>
    <t xml:space="preserve">Lien faible avec la visibilité des aurores</t>
  </si>
  <si>
    <t xml:space="preserve">À vérifier</t>
  </si>
  <si>
    <t xml:space="preserve">Texte de prévision (3 jours)</t>
  </si>
  <si>
    <t xml:space="preserve">Prévision rédigée par les prévisionnistes NOAA</t>
  </si>
  <si>
    <t xml:space="preserve">Quotidienne</t>
  </si>
  <si>
    <t xml:space="preserve">1 à 2 fois par jour</t>
  </si>
  <si>
    <t xml:space="preserve">NOAA SWPC (/text/3-day-forecast.txt)</t>
  </si>
  <si>
    <t xml:space="preserve">Scraping de texte</t>
  </si>
  <si>
    <t xml:space="preserve">Moyen terme</t>
  </si>
  <si>
    <t xml:space="preserve">Illustre le scraping de données non structurées (C1.1.2)</t>
  </si>
  <si>
    <t xml:space="preserve">Collecté (NOAA toutes les 3 h), parsing à faire</t>
  </si>
  <si>
    <t xml:space="preserve">Température (moyenne, min, max)</t>
  </si>
  <si>
    <t xml:space="preserve">Température de l'air du jour, convertie de °F en °C</t>
  </si>
  <si>
    <t xml:space="preserve">°C</t>
  </si>
  <si>
    <t xml:space="preserve">Horaire (GHCNh) ; journalière (GSOD)</t>
  </si>
  <si>
    <t xml:space="preserve">GSOD : une fois (base figée) ; GHCNh : chaque jour, lignes nouvelles seulement</t>
  </si>
  <si>
    <t xml:space="preserve">NOAA NCEI GSOD par SQL (BigQuery bigquery-public-data.noaa_gsod, 2010 → 24/08/2025) ; NOAA GHCNh horaire, mêmes stations (TROMSO, aéroport de Kiruna, gare de Rovaniemi), 2010 → hier</t>
  </si>
  <si>
    <t xml:space="preserve">Requêtes SQL (BigQuery) + API (fichiers GHCNh)</t>
  </si>
  <si>
    <t xml:space="preserve">Contexte saisonnier ; froid sec souvent associé à un ciel dégagé</t>
  </si>
  <si>
    <t xml:space="preserve">NOAA NCEI GSOD : données publiques, sans garantie (citer NCEI) ; NOAA GHCNh : CC0 (DOI 10.25921/jp3d-3v19) ; requêtes BigQuery gratuites jusqu'à 1 To par mois</t>
  </si>
  <si>
    <t xml:space="preserve">Collecté et nettoyé : GSOD (weather_daily) et GHCNh (weather_hourly, mis à jour chaque jour) ; contrôle croisé de la température : écart moyen 0,03 à 0,09 °C ; prévisions à faire</t>
  </si>
  <si>
    <t xml:space="preserve">Point de rosée et humidité relative</t>
  </si>
  <si>
    <t xml:space="preserve">Point de rosée mesuré ; humidité relative calculée (formule de Magnus, à partir des moyennes du jour)</t>
  </si>
  <si>
    <t xml:space="preserve">°C / %</t>
  </si>
  <si>
    <t xml:space="preserve">Risque de brouillard et de givre</t>
  </si>
  <si>
    <t xml:space="preserve">Visibilité</t>
  </si>
  <si>
    <t xml:space="preserve">Visibilité horizontale, en km ; GSOD : moyenne du jour convertie des miles ; GHCNh : par heure. Messages METAR (aéroport de Kiruna) plafonnés à 10 km (« 10 km ou plus », colonne visibility_capped)</t>
  </si>
  <si>
    <t xml:space="preserve">km</t>
  </si>
  <si>
    <t xml:space="preserve">Brume et brouillard masquent le ciel comme les nuages</t>
  </si>
  <si>
    <t xml:space="preserve">Brouillard (jour signalé)</t>
  </si>
  <si>
    <t xml:space="preserve">Brouillard signalé : GSOD = au moins une fois dans la journée ; GHCNh = par heure, d'après le temps présent WMO (abréviation FG, code manuel 40-49, automatique 30-35) ; brume (BR, code 10) en colonne séparée</t>
  </si>
  <si>
    <t xml:space="preserve">Booléen</t>
  </si>
  <si>
    <t xml:space="preserve">Ciel bouché en pleine saison des aurores (4 à 6 jours par mois en octobre-novembre à Kiruna et Rovaniemi)</t>
  </si>
  <si>
    <t xml:space="preserve">Vent (moyen et maximum)</t>
  </si>
  <si>
    <t xml:space="preserve">Vitesse (et direction pour GHCNh) du vent, en m/s ; direction 999 = vent calme ou variable</t>
  </si>
  <si>
    <t xml:space="preserve">m/s</t>
  </si>
  <si>
    <t xml:space="preserve">Confort d'observation pour l'agence ; le vent dissipe aussi le brouillard</t>
  </si>
  <si>
    <t xml:space="preserve">Précipitations</t>
  </si>
  <si>
    <t xml:space="preserve">Cumul du jour, converti de pouces en mm ; lettre NOAA « I » (pas de relevé) passée à vide ; plus de 50 mm sans pluie signalée marqué suspect</t>
  </si>
  <si>
    <t xml:space="preserve">mm</t>
  </si>
  <si>
    <t xml:space="preserve">Historique : une fois</t>
  </si>
  <si>
    <t xml:space="preserve">NOAA NCEI GSOD, base publique BigQuery bigquery-public-data.noaa_gsod (stations TROMSO, KIRUNA, ROVANIEMI RAUTATIEASEMA)</t>
  </si>
  <si>
    <t xml:space="preserve">Requêtes SQL (BigQuery)</t>
  </si>
  <si>
    <t xml:space="preserve">Exploitable seulement à Tromsø (92 % des jours) ; inutilisable à Kiruna et Rovaniemi (0 %)</t>
  </si>
  <si>
    <t xml:space="preserve">NOAA NCEI : données publiques, sans garantie (citer « Global Surface Summary of the Day - GSOD », NCEI) ; requêtes BigQuery gratuites jusqu'à 1 To par mois</t>
  </si>
  <si>
    <t xml:space="preserve">Historique collecté et nettoyé (2010 → 24/08/2025, table weather_daily) ; prévisions à faire</t>
  </si>
  <si>
    <t xml:space="preserve">Pression au niveau de la mer</t>
  </si>
  <si>
    <t xml:space="preserve">Pression atmosphérique ramenée au niveau de la mer</t>
  </si>
  <si>
    <t xml:space="preserve">hPa</t>
  </si>
  <si>
    <t xml:space="preserve">Chaque jour, lignes nouvelles seulement</t>
  </si>
  <si>
    <t xml:space="preserve">NOAA GHCNh horaire (TROMSO, aéroport de Kiruna, gare de Rovaniemi), 2010 → hier</t>
  </si>
  <si>
    <t xml:space="preserve">API (fichiers GHCNh)</t>
  </si>
  <si>
    <t xml:space="preserve">Une pression qui monte annonce souvent un ciel qui se dégage ; à tester en sélection de variables</t>
  </si>
  <si>
    <t xml:space="preserve">NOAA GHCNh : CC0 (DOI 10.25921/jp3d-3v19)</t>
  </si>
  <si>
    <t xml:space="preserve">Collecté et nettoyé (weather_hourly, 2010 → hier) ; prévisions à faire</t>
  </si>
  <si>
    <t xml:space="preserve">Synthèse des variables</t>
  </si>
  <si>
    <t xml:space="preserve">Nombre de variables</t>
  </si>
  <si>
    <t xml:space="preserve">Total</t>
  </si>
  <si>
    <t xml:space="preserve">Variables à collecter via</t>
  </si>
  <si>
    <t xml:space="preserve">Scraping</t>
  </si>
  <si>
    <t xml:space="preserve">SQL</t>
  </si>
  <si>
    <t xml:space="preserve">Notes et points à vérifier</t>
  </si>
  <si>
    <t xml:space="preserve">Sujet</t>
  </si>
  <si>
    <t xml:space="preserve">Détail</t>
  </si>
  <si>
    <t xml:space="preserve">Rôle de Bz</t>
  </si>
  <si>
    <t xml:space="preserve">Quand Bz est négatif (orienté vers le sud), le champ du vent solaire se connecte à celui de la Terre et les aurores s'intensifient. Quand Bz est positif, la Terre est mieux protégée.</t>
  </si>
  <si>
    <t xml:space="preserve">Deux horizons</t>
  </si>
  <si>
    <t xml:space="preserve">Court terme (30 à 60 min) : Bz, vitesse, densité. Moyen terme (1 à 3 jours) : taches solaires, éruptions, prévision Kp NOAA.</t>
  </si>
  <si>
    <t xml:space="preserve">Historique</t>
  </si>
  <si>
    <t xml:space="preserve">Les JSON NOAA ne gardent que quelques heures à quelques jours (vent solaire environ 20 h, Kp observé 7 jours). Historique collecté une fois par backfill (GFZ depuis 1932, OMNIWeb, NOAA GHCNh et NOAA GSOD depuis 2010), puis collecte continue toutes les 3 h.</t>
  </si>
  <si>
    <t xml:space="preserve">Prévisions</t>
  </si>
  <si>
    <t xml:space="preserve">Conserver chaque prévision avec sa date d'émission pour comparer prévu vs observé (monitoring et réentraînement).</t>
  </si>
  <si>
    <t xml:space="preserve">Valeurs manquantes</t>
  </si>
  <si>
    <t xml:space="preserve">Marqueur explicite, journal des trous, interpolation courte pour le vent solaire, jamais pour le Kp observé.</t>
  </si>
  <si>
    <t xml:space="preserve">SpaceWeatherLive</t>
  </si>
  <si>
    <t xml:space="preserve">robots.txt : Allow pour les robots génériques, Crawl-delay de 5 s, ai-train=no (zone grise pour le ML). CGU : données brutes libres avec citation des sources d'origine, copie des graphiques et hotlinking interdits, rien sur le scraping. Privilégier NOAA/GFZ à la source. Détails dans l'onglet « Vérification CGU ».</t>
  </si>
  <si>
    <t xml:space="preserve">Endpoints NOAA pour les protons et les taches solaires, accès et licence GFZ/OMNIWeb, unités exactes de chaque flux.</t>
  </si>
  <si>
    <t xml:space="preserve">Vérification juridique : SpaceWeatherLive</t>
  </si>
  <si>
    <t xml:space="preserve">Vérification faite le 26/10/2026 (C1.1.2, cadre réglementaire). Ce n'est pas un avis juridique.</t>
  </si>
  <si>
    <t xml:space="preserve">Document</t>
  </si>
  <si>
    <t xml:space="preserve">Lien</t>
  </si>
  <si>
    <t xml:space="preserve">Section</t>
  </si>
  <si>
    <t xml:space="preserve">Ce que dit le texte (résumé)</t>
  </si>
  <si>
    <t xml:space="preserve">Conséquence pour le scraping</t>
  </si>
  <si>
    <t xml:space="preserve">Disclaimer (avertissement légal)</t>
  </si>
  <si>
    <t xml:space="preserve">https://www.spaceweatherlive.com/en/disclaimer.html</t>
  </si>
  <si>
    <t xml:space="preserve">Copyright &amp; Intellectual Property</t>
  </si>
  <si>
    <t xml:space="preserve">Les données brutes générées ne sont pas soumises au droit d'auteur et peuvent être utilisées librement en citant les sources d'origine. Copier les graphiques générés, la mise en page, les symboles ou les logiciels est interdit sans autorisation. Le hotlinking d'images ou de graphiques depuis leurs serveurs est interdit.</t>
  </si>
  <si>
    <t xml:space="preserve">Données chiffrées : autorisées avec citation de la source. Graphiques, images et mise en page : à ne pas copier ni lier.</t>
  </si>
  <si>
    <t xml:space="preserve">Public Data &amp; Scientific Attribution</t>
  </si>
  <si>
    <t xml:space="preserve">Les données brutes viennent d'organismes comme NOAA, GFZ Potsdam, IRF et SIDC.</t>
  </si>
  <si>
    <t xml:space="preserve">Citer ces organismes dans le dossier. Pour Kp et vent solaire, privilégier la source d'origine.</t>
  </si>
  <si>
    <t xml:space="preserve">Solar &amp; Aurora Imagery Rights</t>
  </si>
  <si>
    <t xml:space="preserve">Les images solaires appartiennent à NASA, ESA, etc. Les photos d'aurores appartiennent à leurs auteurs, sous licence exclusive du site. Toute redistribution non autorisée est interdite.</t>
  </si>
  <si>
    <t xml:space="preserve">Ne pas collecter ni stocker d'images ou de photos.</t>
  </si>
  <si>
    <t xml:space="preserve">User agreement</t>
  </si>
  <si>
    <t xml:space="preserve">https://www.spaceweatherlive.com/lv/polarblazmas-aktivitate/observations/terms-of-use.html</t>
  </si>
  <si>
    <t xml:space="preserve">Your submitted observations</t>
  </si>
  <si>
    <t xml:space="preserve">Concerne les observations envoyées par les utilisateurs (licence non exclusive, publication, usage par des chercheurs avec mention de l'auteur).</t>
  </si>
  <si>
    <t xml:space="preserve">Hors sujet pour le scraping, sauf si tu collectes des observations d'utilisateurs : dans ce cas, attribution obligatoire.</t>
  </si>
  <si>
    <t xml:space="preserve">Les deux pages</t>
  </si>
  <si>
    <t xml:space="preserve">Accès automatisé / scraping / API / usage commercial</t>
  </si>
  <si>
    <t xml:space="preserve">Aucune mention trouvée dans le disclaimer ni dans l'accord utilisateur.</t>
  </si>
  <si>
    <t xml:space="preserve">Pas d'interdiction explicite, mais pas d'autorisation explicite non plus (voir robots.txt ci-dessous).</t>
  </si>
  <si>
    <t xml:space="preserve">robots.txt</t>
  </si>
  <si>
    <t xml:space="preserve">https://www.spaceweatherlive.com/robots.txt</t>
  </si>
  <si>
    <t xml:space="preserve">User-agent: * (Allow: /)</t>
  </si>
  <si>
    <t xml:space="preserve">Tous les chemins sont ouverts aux robots génériques (test Python can_fetch = True).</t>
  </si>
  <si>
    <t xml:space="preserve">Scraping techniquement autorisé pour un robot générique.</t>
  </si>
  <si>
    <t xml:space="preserve">Crawl-delay: 5</t>
  </si>
  <si>
    <t xml:space="preserve">Demande d'attendre 5 secondes entre deux requêtes.</t>
  </si>
  <si>
    <t xml:space="preserve">Obligatoire : time.sleep(5) minimum entre deux pages, en plus d'une collecte par heure maximum.</t>
  </si>
  <si>
    <t xml:space="preserve">Signaux de contenu : search=yes, ai-train=no, use=reference</t>
  </si>
  <si>
    <t xml:space="preserve">Indexation par les moteurs autorisée, entraînement d'IA refusé.</t>
  </si>
  <si>
    <t xml:space="preserve">Zone grise pour entraîner un modèle de ML : privilégier NOAA et GFZ à la source, ou demander une autorisation écrite au site.</t>
  </si>
  <si>
    <t xml:space="preserve">Robots bloqués (Disallow: /)</t>
  </si>
  <si>
    <t xml:space="preserve">Environ 35 robots d'entraînement d'IA (GPTBot, ClaudeBot, CCBot, Google-Extended…) et robots SEO (AhrefsBot, SemrushBot, MJ12bot…).</t>
  </si>
  <si>
    <t xml:space="preserve">Ne pas utiliser un de ces noms ; User-Agent personnalisé et identifiable avec un contact.</t>
  </si>
  <si>
    <t xml:space="preserve">Sitemap</t>
  </si>
  <si>
    <t xml:space="preserve">https://www.spaceweatherlive.com/sitemap.php</t>
  </si>
  <si>
    <t xml:space="preserve">Utile pour repérer les pages à collecter.</t>
  </si>
  <si>
    <t xml:space="preserve">Conclusion</t>
  </si>
  <si>
    <t xml:space="preserve">Le scraping de valeurs numériques brutes (Kp, flux, taches solaires) n'est pas interdit par les CGU, à condition de citer les sources d'origine. À éviter : graphiques, images, mise en page. Le robots.txt l'autorise pour un robot générique avec un délai de 5 secondes entre requêtes, mais refuse l'entraînement d'IA (ai-train=no) : pour un modèle de ML, prendre NOAA et GFZ à la source ou demander l'accord du site. Bonnes pratiques : une collecte par heure, 5 secondes entre pages, User-Agent identifiable. Pages lues via un outil de résumé : relire les textes sur le site avant de les citer. Vérification faite le 26/10/2026, ce n'est pas un avis juridique.</t>
  </si>
  <si>
    <t xml:space="preserve">Vérification juridique : GFZ, NOAA SWPC, OMNIWeb (NASA), Open-Meteo, NOAA GHCNh, NOAA GSOD (BigQuery)</t>
  </si>
  <si>
    <t xml:space="preserve">Vérification faite le 26/10/2026 (C1.1.2, cadre réglementaire). Ce n'est pas un avis juridique. Pages lues via un outil de résumé : relire les textes sur les sites avant de les citer.</t>
  </si>
  <si>
    <t xml:space="preserve">Conséquence pour la collecte</t>
  </si>
  <si>
    <t xml:space="preserve">GFZ Potsdam (Kp historique)</t>
  </si>
  <si>
    <t xml:space="preserve">Page de l'indice Kp (GFZ)</t>
  </si>
  <si>
    <t xml:space="preserve">https://gfz.de/en/section/geomagnetism/data-products-services/geomagnetic-kp-index</t>
  </si>
  <si>
    <t xml:space="preserve">Les données de l'indice Kp sont sous licence CC BY 4.0. Le GFZ demande d'être cité comme source des données.</t>
  </si>
  <si>
    <t xml:space="preserve">Citer le GFZ, le jeu de données (Matzka et al., 2021, Geomagnetic Kp index, GFZ Data Services, DOI 10.5880/Kp.0001) et l'article (Matzka et al., 2021, Space Weather, DOI 10.1029/2020SW002641).</t>
  </si>
  <si>
    <t xml:space="preserve">En-tête du fichier Kp_ap_Ap_SN_F107</t>
  </si>
  <si>
    <t xml:space="preserve">https://kp.gfz.de/fileadmin/files_for_gfz_cms/Kp_ap_Ap_SN_F107_nowcast.txt</t>
  </si>
  <si>
    <t xml:space="preserve">CC BY 4.0, sauf le nombre de taches solaires (SN) : CC BY-NC 4.0, fourni par WDC-SILSO (Observatoire royal de Belgique). F10.7 fourni par le Dominion Radio Astrophysical Observatory et Ressources naturelles Canada.</t>
  </si>
  <si>
    <t xml:space="preserve">SN : usage non commercial seulement. Si AuroraCast devient un service payant, retirer SN ou demander l'accord de SILSO. Citer SILSO et DRAO / NRCan.</t>
  </si>
  <si>
    <t xml:space="preserve">Page de téléchargement des données</t>
  </si>
  <si>
    <t xml:space="preserve">https://kp.gfz.de/en/data</t>
  </si>
  <si>
    <t xml:space="preserve">Aucune clause sur l'accès automatisé. La page conseille le téléchargement HTTPS pour les gros volumes.</t>
  </si>
  <si>
    <t xml:space="preserve">Le backfill télécharge le fichier complet en HTTPS, une seule fois, à la demande.</t>
  </si>
  <si>
    <t xml:space="preserve">NOAA SWPC (collecte horaire)</t>
  </si>
  <si>
    <t xml:space="preserve">Avertissement légal du NWS (dont dépend le SWPC)</t>
  </si>
  <si>
    <t xml:space="preserve">https://www.weather.gov/DISCLAIMER.PHP</t>
  </si>
  <si>
    <t xml:space="preserve">Les informations des serveurs du gouvernement sont dans le domaine public, utilisables librement à condition de ne pas se les attribuer, de ne pas laisser croire à un soutien de la NOAA, et de ne pas présenter des données modifiées comme officielles.</t>
  </si>
  <si>
    <t xml:space="preserve">Citer NOAA SWPC comme source. Dans l'application, présenter la prévision comme celle d'AuroraCast, jamais comme une prévision NOAA.</t>
  </si>
  <si>
    <t xml:space="preserve">Fiche data.gov « Space Weather Products »</t>
  </si>
  <si>
    <t xml:space="preserve">https://catalog-old.data.gov/dataset/space-weather-products2</t>
  </si>
  <si>
    <t xml:space="preserve">Considéré comme une œuvre du gouvernement américain. Contraintes d'accès : aucune. Contraintes d'usage : aucune.</t>
  </si>
  <si>
    <t xml:space="preserve">Collecte et réutilisation autorisées.</t>
  </si>
  <si>
    <t xml:space="preserve">Accès automatisé</t>
  </si>
  <si>
    <t xml:space="preserve">https://services.swpc.noaa.gov/</t>
  </si>
  <si>
    <t xml:space="preserve">Aucune mention de limite de requêtes trouvée.</t>
  </si>
  <si>
    <t xml:space="preserve">Bonnes pratiques : une requête par heure et par fichier, User-Agent identifiable avec contact, nouvelles tentatives espacées.</t>
  </si>
  <si>
    <t xml:space="preserve">OMNIWeb (NASA SPDF, vent solaire historique)</t>
  </si>
  <si>
    <t xml:space="preserve">Page « Citing OMNI »</t>
  </si>
  <si>
    <t xml:space="preserve">https://omniweb.gsfc.nasa.gov/html/citing.html</t>
  </si>
  <si>
    <t xml:space="preserve">Citer le jeu de données OMNI horaire par son DOI en ajoutant la date d'accès ; remerciement suggéré : « We acknowledge use of NASA/GSFC's Space Physics Data Facility's OMNIWeb (or CDAWeb or ftp) service, and OMNI data ». Pas d'autre politique d'usage.</t>
  </si>
  <si>
    <t xml:space="preserve">Citer Papitashvili et King (2020), OMNI Hourly Data, DOI 10.48322/1shr-ht18, avec la date d'accès, et King et Papitashvili (2005), DOI 10.1029/2004JA010649.</t>
  </si>
  <si>
    <t xml:space="preserve">Description du format omni2.text</t>
  </si>
  <si>
    <t xml:space="preserve">https://spdf.gsfc.nasa.gov/pub/data/omni/low_res_omni/omni2.text</t>
  </si>
  <si>
    <t xml:space="preserve">Les publications utilisant ces données doivent remercier le Space Physics Data Facility (SPDF).</t>
  </si>
  <si>
    <t xml:space="preserve">Mention du SPDF dans le dossier et la documentation.</t>
  </si>
  <si>
    <t xml:space="preserve">Répertoire public des fichiers annuels</t>
  </si>
  <si>
    <t xml:space="preserve">https://spdf.gsfc.nasa.gov/pub/data/omni/low_res_omni/</t>
  </si>
  <si>
    <t xml:space="preserve">Répertoire public en HTTPS, un fichier par année (omni2_AAAA.dat, environ 2,7 Mo).</t>
  </si>
  <si>
    <t xml:space="preserve">Crawling du répertoire pour découvrir les fichiers, puis téléchargement un par un avec une pause entre deux fichiers.</t>
  </si>
  <si>
    <t xml:space="preserve">Open-Meteo (nébulosité historique, écarté)</t>
  </si>
  <si>
    <t xml:space="preserve">Conditions d'utilisation</t>
  </si>
  <si>
    <t xml:space="preserve">https://open-meteo.com/en/terms</t>
  </si>
  <si>
    <t xml:space="preserve">API gratuite réservée à l'usage non commercial (l'usage éducatif en fait partie ; les sites avec abonnement ou publicité sont commerciaux). Limites : moins de 10 000 appels par jour, 5 000 par heure, 600 par minute, 300 000 par mois.</t>
  </si>
  <si>
    <t xml:space="preserve">Projet de certification : autorisé. Backfill découpé par lieu et par année, avec pause entre les appels. Si AuroraCast devient commercial : abonnement avec clé d'API.</t>
  </si>
  <si>
    <t xml:space="preserve">Licence</t>
  </si>
  <si>
    <t xml:space="preserve">https://open-meteo.com/en/licence</t>
  </si>
  <si>
    <t xml:space="preserve">Données sous CC BY 4.0. Un lien « Weather data by Open-Meteo.com » doit figurer à côté de chaque endroit où les données sont affichées. Sources sous-jacentes listées, dont Copernicus (C3S) et l'ECMWF.</t>
  </si>
  <si>
    <t xml:space="preserve">Afficher le lien Open-Meteo dans le tableau de bord du directeur ; citer Open-Meteo et Copernicus dans le dossier.</t>
  </si>
  <si>
    <t xml:space="preserve">NOAA GHCNh (nébulosité observée)</t>
  </si>
  <si>
    <t xml:space="preserve">Fiche data.gov GHCNh Version 1</t>
  </si>
  <si>
    <t xml:space="preserve">https://catalog.data.gov/dataset/global-historical-climatology-network-hourly-ghcnh-version-1</t>
  </si>
  <si>
    <t xml:space="preserve">Licence CC0 1.0 (domaine public). Remplace le jeu « Global Hourly » (ISD), qui n'est plus mis à jour depuis le 24/08/2025.</t>
  </si>
  <si>
    <t xml:space="preserve">Collecte et réutilisation autorisées, y compris le stockage.</t>
  </si>
  <si>
    <t xml:space="preserve">Registre AWS Open Data « NOAA GHCN-H »</t>
  </si>
  <si>
    <t xml:space="preserve">https://registry.opendata.aws/noaa-ghcnh/</t>
  </si>
  <si>
    <t xml:space="preserve">Fichiers publics dans l'espace noaa-ghcnh-pds (us-east-1). NOAA demande d'être citée pour un usage de données non modifiées et interdit de laisser croire à son soutien.</t>
  </si>
  <si>
    <t xml:space="preserve">Citer NOAA NCEI, GHCNh Version 1, DOI 10.25921/jp3d-3v19. Accès par fichier annuel par station, une requête par fichier avec pause.</t>
  </si>
  <si>
    <t xml:space="preserve">NOAA ISD Global Hourly (écarté)</t>
  </si>
  <si>
    <t xml:space="preserve">Avis NESDIS de changement de service</t>
  </si>
  <si>
    <t xml:space="preserve">https://www.nesdis.noaa.gov/news/service-location-change-integrated-surface-data-global-hourly</t>
  </si>
  <si>
    <t xml:space="preserve">Produit remplacé : plus de mise à jour après le 24/08/2025 ; téléchargement direct retiré le 31/07/2026 ; GHCNh recommandé.</t>
  </si>
  <si>
    <t xml:space="preserve">Écarté : pas de données récentes.</t>
  </si>
  <si>
    <t xml:space="preserve">NOAA GSOD (météo quotidienne, SQL)</t>
  </si>
  <si>
    <t xml:space="preserve">Fiche de métadonnées NCEI (GSOD, gov.noaa.ncdc:C00516)</t>
  </si>
  <si>
    <t xml:space="preserve">https://www.ncei.noaa.gov/metadata/geoportal/rest/metadata/item/gov.noaa.ncdc:C00516/html</t>
  </si>
  <si>
    <t xml:space="preserve">Aucune licence restrictive indiquée ; NOAA et NCEI ne donnent aucune garantie d'exactitude ou d'exhaustivité, l'utilisateur juge de l'usage des données. Citation demandée : « NOAA National Centers of Environmental Information. 1999. Global Surface Summary of the Day - GSOD. 1.0. [sous-ensemble utilisé]. Accessed [date] ».</t>
  </si>
  <si>
    <t xml:space="preserve">Collecte et réutilisation autorisées (œuvre du gouvernement américain, comme NOAA SWPC). Citer NCEI avec les 3 stations et la date d'accès. Qualité vérifiée par nos soins (rapport de qualité, incident INC-004).</t>
  </si>
  <si>
    <t xml:space="preserve">Google BigQuery, programme Public Datasets</t>
  </si>
  <si>
    <t xml:space="preserve">https://docs.cloud.google.com/bigquery/public-data</t>
  </si>
  <si>
    <t xml:space="preserve">Google paie le stockage ; l'utilisateur ne paie que ses requêtes, le premier To par mois est gratuit, et le mode sans facturation (sandbox) suffit en dessous. Pas de garantie de service (SLA). Les conditions propres aux données sont celles de leur producteur (ici la NOAA).</t>
  </si>
  <si>
    <t xml:space="preserve">Mode sandbox, sans carte bancaire. Chaque requête est d'abord estimée à blanc puis plafonnée à 15 Go (la plus grosse lit 8,7 Go). Compte de service limité au rôle « Utilisateur de job BigQuery ».</t>
  </si>
  <si>
    <t xml:space="preserve">Toutes les sources</t>
  </si>
  <si>
    <t xml:space="preserve">GFZ, NOAA SWPC, OMNIWeb, NOAA GHCNh et NOAA GSOD (via BigQuery) autorisent la collecte et la réutilisation pour un projet de certification, à condition de les citer. Open-Meteo est écarté : le robots.txt de son API d'archive interdit l'accès (incident INC-002). Restriction d'usage commercial à retenir : le nombre de taches solaires du fichier GFZ (CC BY-NC 4.0). Obligation d'affichage : une prévision présentée comme celle d'AuroraCast, pas de la NOAA. Coût BigQuery : nul tant que les requêtes restent sous 1 To par mois. Le respect du robots.txt est contrôlé automatiquement à chaque collecte.</t>
  </si>
  <si>
    <t xml:space="preserve">Journal des incidents de collecte</t>
  </si>
  <si>
    <t xml:space="preserve">Un incident par ligne, du plus récent au plus ancien (C4.4.2 résolution d'incident, C1.1.2 exhaustivité de la collecte, C4.3.1 supervision).</t>
  </si>
  <si>
    <t xml:space="preserve">N°</t>
  </si>
  <si>
    <t xml:space="preserve">Date de détection</t>
  </si>
  <si>
    <t xml:space="preserve">Source / composant</t>
  </si>
  <si>
    <t xml:space="preserve">Symptôme</t>
  </si>
  <si>
    <t xml:space="preserve">Comment il a été détecté</t>
  </si>
  <si>
    <t xml:space="preserve">Cause</t>
  </si>
  <si>
    <t xml:space="preserve">Impact</t>
  </si>
  <si>
    <t xml:space="preserve">Résolution</t>
  </si>
  <si>
    <t xml:space="preserve">Date de résolution</t>
  </si>
  <si>
    <t xml:space="preserve">Prévention / leçon</t>
  </si>
  <si>
    <t xml:space="preserve">Compétences</t>
  </si>
  <si>
    <t xml:space="preserve">INC-004</t>
  </si>
  <si>
    <t xml:space="preserve">Google BigQuery : base existante bigquery-public-data.noaa_gsod (table stations)</t>
  </si>
  <si>
    <t xml:space="preserve">Backfill SQL GSOD en échec : pour les 3 lieux, « aucune station active à moins de 30 km », alors que les stations TROMSO (0,9 km), KIRUNA (6 km) et ROVANIEMI RAUTATIEASEMA (0,7 km) existent.</t>
  </si>
  <si>
    <t xml:space="preserve">Lecture des résultats de la requête des stations archivés (stations_&lt;lieu&gt;.json) : la colonne « end » vaut 20210920 pour toutes les stations.</t>
  </si>
  <si>
    <t xml:space="preserve">La table de métadonnées « stations » n'est plus mise à jour depuis le 20/09/2021, alors que les tables annuelles de relevés vont jusqu'au 24/08/2025. Le collecteur jugeait l'activité d'une station sur cette date de fin.</t>
  </si>
  <si>
    <t xml:space="preserve">Aucune donnée météo quotidienne collectée pendant ce lancement. Pas de perte durable : la base est historique.</t>
  </si>
  <si>
    <t xml:space="preserve">L'activité d'une station est désormais mesurée dans les relevés eux-mêmes : la requête des stations est jointe (LEFT JOIN) aux relevés de la dernière année et compte les jours mesurés ; une station est retenue avec au moins 30 jours. Test ajouté (commit fd4ff50). Vérifié le 27/10/2026 à 10:45 UTC : 3 stations retenues (236 jours en 2025 chacune), 16 832 jours collectés pour 2010-2025, 8,7 Go lus, coût nul.</t>
  </si>
  <si>
    <t xml:space="preserve">Résolu</t>
  </si>
  <si>
    <t xml:space="preserve">Ne pas faire confiance aux métadonnées d'une base existante : contrôler dans les données elles-mêmes (qualité des données, C1.1.2). Archiver le résultat de chaque requête pour pouvoir diagnostiquer.</t>
  </si>
  <si>
    <t xml:space="preserve">C1.1.2, C4.4.2</t>
  </si>
  <si>
    <t xml:space="preserve">INC-003</t>
  </si>
  <si>
    <t xml:space="preserve">GitHub Actions : planification de la collecte NOAA horaire</t>
  </si>
  <si>
    <t xml:space="preserve">Entre le 26/10 à 19:52 UTC et le 27/10 à 08:40 UTC, seulement 2 passages automatiques (23:40 et 04:32 UTC, environ 33 min de retard) au lieu d'environ 13. Les deux passages ont collecté 9 sources sur 9.</t>
  </si>
  <si>
    <t xml:space="preserve">Comparaison des commits horodatés de la branche raw-data avec la planification (cron « 7 * * * * »).</t>
  </si>
  <si>
    <t xml:space="preserve">L'ordonnanceur de GitHub Actions fonctionne au mieux : la documentation indique que les exécutions planifiées peuvent être retardées, voire supprimées, en période de forte charge, surtout aux heures pleines.</t>
  </si>
  <si>
    <t xml:space="preserve">Kp : aucune perte (le fichier NOAA couvre 7 jours). Vent solaire temps réel : environ 8 h de mesures perdues, à recompléter par OMNIWeb (publié avec environ un mois de retard). Prévisions et alertes émises entre deux passages : en partie perdues.</t>
  </si>
  <si>
    <t xml:space="preserve">Collecte incrémentale du vent solaire : chaque passage reprend après la dernière mesure archivée (lue dans les manifestes précédents), avec 10 min de recouvrement ; une perte n'est possible qu'au-delà de la profondeur du fichier NOAA (environ 20 h, mesurée sur les fichiers archivés) et elle est alors notée au manifeste (lost_from, lost_to). Vérifié du 27/10 au 29/10/2026 : GitHub n'a lancé la collecte que toutes les 4 à 6 h, sans aucune minute de vent solaire perdue. Cadence ensuite fixée à un passage toutes les 3 h (cron « 17 */3 * * * », commit 94f987f), choisie d'après la profondeur mesurée des flux : vent solaire environ 20 h, Kp observé 7 jours, alertes 30 jours ; seul kp_1m (environ 6 h) peut garder des trous, sans effet sur le modèle.</t>
  </si>
  <si>
    <t xml:space="preserve">Ne pas compter sur un ordonnanceur « au mieux » pour une collecte critique : argument pour Airflow (C1.1.3, C4.2.2). Concevoir les collectes pour être rattrapables (incrémentales et idempotentes), et choisir la fréquence d'après la profondeur mesurée de chaque flux plutôt qu'au plus souvent possible.</t>
  </si>
  <si>
    <t xml:space="preserve">C4.4.2, C1.1.3, C4.3.1</t>
  </si>
  <si>
    <t xml:space="preserve">INC-002</t>
  </si>
  <si>
    <t xml:space="preserve">Open-Meteo : API d'archive (nébulosité historique)</t>
  </si>
  <si>
    <t xml:space="preserve">Premier backfill : les 51 séries lieu-année Open-Meteo refusées, aucune donnée téléchargée (GFZ et OMNIWeb collectés sans erreur).</t>
  </si>
  <si>
    <t xml:space="preserve">Manifeste du backfill : robots = « lu », allowed = false, erreur « interdit par https://archive-api.open-meteo.com/robots.txt ». Exécution GitHub Actions en échec.</t>
  </si>
  <si>
    <t xml:space="preserve">Le robots.txt du sous-domaine archive-api.open-meteo.com interdit l'accès à tous les robots, alors que les conditions d'utilisation autorisent l'API gratuite en usage non commercial. Le contrôle robots.txt ajouté au collecteur a joué son rôle.</t>
  </si>
  <si>
    <t xml:space="preserve">Pas d'historique de nébulosité. Sans effet sur le modèle de Kp (qui ne dépend pas du lieu) ; bloque l'analyse des nuits dégagées par lieu.</t>
  </si>
  <si>
    <t xml:space="preserve">Décision : appliquer strictement le robots.txt plutôt qu'une exception. Comparaison de sources (NASA POWER interdit par robots.txt ; NOAA ISD figé depuis le 24/08/2025) et choix de NOAA GHCNh (CC0, mis à jour chaque jour, accès autorisé). Open-Meteo retiré du workflow de backfill ; recherche des stations GHCNh proches des lieux cibles.</t>
  </si>
  <si>
    <t xml:space="preserve">Résolu (bascule vers NOAA GHCNh, historique collecté)</t>
  </si>
  <si>
    <t xml:space="preserve">Contrôler le robots.txt de chaque hôte (et pas seulement du site principal : open-meteo.com autorise, archive-api.open-meteo.com interdit) avant de retenir une source.</t>
  </si>
  <si>
    <t xml:space="preserve">C1.1.2, C4.4.2, C3.3.3</t>
  </si>
  <si>
    <t xml:space="preserve">INC-001</t>
  </si>
  <si>
    <t xml:space="preserve">NOAA SWPC : vent solaire (champ magnétique et plasma)</t>
  </si>
  <si>
    <t xml:space="preserve">Premier lancement de la collecte horaire (GitHub Actions) : 7 sources sur 9 collectées, les 2 sources du vent solaire en erreur HTTP 404.</t>
  </si>
  <si>
    <t xml:space="preserve">Manifeste de l'exécution (ok = false, http_status = 404) et exécution GitHub Actions marquée en échec par l'étape « Signaler un échec partiel ».</t>
  </si>
  <si>
    <t xml:space="preserve">La NOAA a retiré l'ancien dossier /products/solar-wind/ (mag-*.json, plasma-*.json). Les données sont désormais publiées dans /json/rtsw/ (rtsw_mag_1m.json, rtsw_wind_1m.json).</t>
  </si>
  <si>
    <t xml:space="preserve">Bz, Bt, vitesse et densité du vent solaire (variables essentielles) non collectés pendant ce lancement. Pas de perte durable : la collecte venait de démarrer.</t>
  </si>
  <si>
    <t xml:space="preserve">Bascule sur les flux temps réel RTSW. Ces fichiers (1,4 à 2,4 Mo) sont réduits aux 3 dernières heures, sans modifier les enregistrements gardés ; le manifeste note les lignes reçues et gardées. Un flux figé (aucune donnée récente) est signalé en échec. Tests ajoutés. Commit d5bcc17. Vérifié le 26/10/2026 à 19:52 UTC (exécution #2) : 9 sources sur 9 collectées, 264 et 248 mesures de vent solaire gardées.</t>
  </si>
  <si>
    <t xml:space="preserve">Lire le manifeste après chaque exécution. Vérifier les URL dans la documentation NOAA : le listing du répertoire affichait encore les anciens fichiers.</t>
  </si>
  <si>
    <t xml:space="preserve">C4.4.2, C1.1.2, C4.3.1</t>
  </si>
</sst>
</file>

<file path=xl/styles.xml><?xml version="1.0" encoding="utf-8"?>
<styleSheet xmlns="http://schemas.openxmlformats.org/spreadsheetml/2006/main">
  <numFmts count="3">
    <numFmt numFmtId="164" formatCode="General"/>
    <numFmt numFmtId="165" formatCode="General"/>
    <numFmt numFmtId="166" formatCode="dd/mm/yyyy"/>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b val="true"/>
      <sz val="11"/>
      <name val="Arial"/>
      <family val="0"/>
      <charset val="1"/>
    </font>
    <font>
      <sz val="9"/>
      <color rgb="FF595959"/>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0B4"/>
        </patternFill>
      </fill>
    </dxf>
    <dxf>
      <fill>
        <patternFill>
          <bgColor rgb="FFFFE699"/>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8"/>
    <col collapsed="false" customWidth="true" hidden="false" outlineLevel="0" max="3" min="3" style="1" width="44"/>
    <col collapsed="false" customWidth="true" hidden="false" outlineLevel="0" max="4" min="4" style="1" width="14"/>
    <col collapsed="false" customWidth="true" hidden="false" outlineLevel="0" max="5" min="5" style="1" width="16"/>
    <col collapsed="false" customWidth="true" hidden="false" outlineLevel="0" max="6" min="6" style="1" width="26"/>
    <col collapsed="false" customWidth="true" hidden="false" outlineLevel="0" max="7" min="7" style="1" width="34"/>
    <col collapsed="false" customWidth="true" hidden="false" outlineLevel="0" max="8" min="8" style="1" width="16"/>
    <col collapsed="false" customWidth="true" hidden="false" outlineLevel="0" max="9" min="9" style="1" width="20"/>
    <col collapsed="false" customWidth="true" hidden="false" outlineLevel="0" max="10" min="10" style="1" width="13"/>
    <col collapsed="false" customWidth="true" hidden="false" outlineLevel="0" max="11" min="11" style="1" width="38"/>
    <col collapsed="false" customWidth="true" hidden="false" outlineLevel="0" max="12" min="12" style="1" width="34"/>
    <col collapsed="false" customWidth="true" hidden="false" outlineLevel="0" max="13" min="13" style="1" width="11"/>
  </cols>
  <sheetData>
    <row r="1" customFormat="false" ht="17.25" hidden="false" customHeight="true" outlineLevel="0" collapsed="false">
      <c r="A1" s="2" t="s">
        <v>0</v>
      </c>
    </row>
    <row r="2" customFormat="false" ht="15" hidden="false" customHeight="true" outlineLevel="0" collapsed="false">
      <c r="A2" s="3" t="s">
        <v>1</v>
      </c>
    </row>
    <row r="4" customFormat="false" ht="33.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row>
    <row r="5" customFormat="false" ht="23.25" hidden="false" customHeight="true" outlineLevel="0" collapsed="false">
      <c r="A5" s="5" t="s">
        <v>15</v>
      </c>
      <c r="B5" s="6" t="s">
        <v>16</v>
      </c>
      <c r="C5" s="6" t="s">
        <v>17</v>
      </c>
      <c r="D5" s="7" t="s">
        <v>18</v>
      </c>
      <c r="E5" s="6" t="s">
        <v>19</v>
      </c>
      <c r="F5" s="6" t="s">
        <v>20</v>
      </c>
      <c r="G5" s="6" t="s">
        <v>21</v>
      </c>
      <c r="H5" s="6" t="s">
        <v>22</v>
      </c>
      <c r="I5" s="7" t="s">
        <v>23</v>
      </c>
      <c r="J5" s="7" t="s">
        <v>24</v>
      </c>
      <c r="K5" s="6" t="s">
        <v>25</v>
      </c>
      <c r="L5" s="6" t="s">
        <v>26</v>
      </c>
      <c r="M5" s="7" t="s">
        <v>27</v>
      </c>
    </row>
    <row r="6" customFormat="false" ht="23.25" hidden="false" customHeight="true" outlineLevel="0" collapsed="false">
      <c r="A6" s="5" t="s">
        <v>28</v>
      </c>
      <c r="B6" s="6" t="s">
        <v>16</v>
      </c>
      <c r="C6" s="6" t="s">
        <v>29</v>
      </c>
      <c r="D6" s="7" t="s">
        <v>18</v>
      </c>
      <c r="E6" s="6" t="s">
        <v>19</v>
      </c>
      <c r="F6" s="6" t="s">
        <v>30</v>
      </c>
      <c r="G6" s="6" t="s">
        <v>31</v>
      </c>
      <c r="H6" s="6" t="s">
        <v>32</v>
      </c>
      <c r="I6" s="7" t="s">
        <v>33</v>
      </c>
      <c r="J6" s="7" t="s">
        <v>24</v>
      </c>
      <c r="K6" s="6" t="s">
        <v>34</v>
      </c>
      <c r="L6" s="6" t="s">
        <v>35</v>
      </c>
      <c r="M6" s="7" t="s">
        <v>36</v>
      </c>
    </row>
    <row r="7" customFormat="false" ht="34.5" hidden="false" customHeight="true" outlineLevel="0" collapsed="false">
      <c r="A7" s="5" t="s">
        <v>37</v>
      </c>
      <c r="B7" s="6" t="s">
        <v>16</v>
      </c>
      <c r="C7" s="6" t="s">
        <v>38</v>
      </c>
      <c r="D7" s="7" t="s">
        <v>39</v>
      </c>
      <c r="E7" s="6" t="s">
        <v>40</v>
      </c>
      <c r="F7" s="6" t="s">
        <v>41</v>
      </c>
      <c r="G7" s="6" t="s">
        <v>42</v>
      </c>
      <c r="H7" s="6" t="s">
        <v>22</v>
      </c>
      <c r="I7" s="7" t="s">
        <v>43</v>
      </c>
      <c r="J7" s="7" t="s">
        <v>24</v>
      </c>
      <c r="K7" s="6" t="s">
        <v>44</v>
      </c>
      <c r="L7" s="6" t="s">
        <v>35</v>
      </c>
      <c r="M7" s="7" t="s">
        <v>45</v>
      </c>
    </row>
    <row r="8" customFormat="false" ht="15" hidden="false" customHeight="true" outlineLevel="0" collapsed="false">
      <c r="A8" s="5" t="s">
        <v>46</v>
      </c>
      <c r="B8" s="6" t="s">
        <v>16</v>
      </c>
      <c r="C8" s="6" t="s">
        <v>47</v>
      </c>
      <c r="D8" s="7" t="s">
        <v>39</v>
      </c>
      <c r="E8" s="6" t="s">
        <v>40</v>
      </c>
      <c r="F8" s="6" t="s">
        <v>48</v>
      </c>
      <c r="G8" s="6" t="s">
        <v>42</v>
      </c>
      <c r="H8" s="6" t="s">
        <v>22</v>
      </c>
      <c r="I8" s="7" t="s">
        <v>49</v>
      </c>
      <c r="J8" s="7" t="s">
        <v>50</v>
      </c>
      <c r="K8" s="6" t="s">
        <v>51</v>
      </c>
      <c r="L8" s="6" t="s">
        <v>35</v>
      </c>
      <c r="M8" s="7" t="s">
        <v>45</v>
      </c>
    </row>
    <row r="9" customFormat="false" ht="23.25" hidden="false" customHeight="true" outlineLevel="0" collapsed="false">
      <c r="A9" s="5" t="s">
        <v>52</v>
      </c>
      <c r="B9" s="6" t="s">
        <v>16</v>
      </c>
      <c r="C9" s="6" t="s">
        <v>53</v>
      </c>
      <c r="D9" s="7" t="s">
        <v>54</v>
      </c>
      <c r="E9" s="6" t="s">
        <v>40</v>
      </c>
      <c r="F9" s="6" t="s">
        <v>55</v>
      </c>
      <c r="G9" s="6" t="s">
        <v>42</v>
      </c>
      <c r="H9" s="6" t="s">
        <v>22</v>
      </c>
      <c r="I9" s="7" t="s">
        <v>49</v>
      </c>
      <c r="J9" s="7" t="s">
        <v>56</v>
      </c>
      <c r="K9" s="6" t="s">
        <v>57</v>
      </c>
      <c r="L9" s="6" t="s">
        <v>35</v>
      </c>
      <c r="M9" s="7" t="s">
        <v>58</v>
      </c>
    </row>
    <row r="10" customFormat="false" ht="23.25" hidden="false" customHeight="true" outlineLevel="0" collapsed="false">
      <c r="A10" s="5" t="s">
        <v>59</v>
      </c>
      <c r="B10" s="6" t="s">
        <v>16</v>
      </c>
      <c r="C10" s="6" t="s">
        <v>60</v>
      </c>
      <c r="D10" s="7" t="s">
        <v>61</v>
      </c>
      <c r="E10" s="6" t="s">
        <v>40</v>
      </c>
      <c r="F10" s="6" t="s">
        <v>62</v>
      </c>
      <c r="G10" s="6" t="s">
        <v>63</v>
      </c>
      <c r="H10" s="6" t="s">
        <v>22</v>
      </c>
      <c r="I10" s="7" t="s">
        <v>49</v>
      </c>
      <c r="J10" s="7" t="s">
        <v>24</v>
      </c>
      <c r="K10" s="6" t="s">
        <v>64</v>
      </c>
      <c r="L10" s="6" t="s">
        <v>35</v>
      </c>
      <c r="M10" s="7" t="s">
        <v>45</v>
      </c>
    </row>
    <row r="11" customFormat="false" ht="15" hidden="false" customHeight="true" outlineLevel="0" collapsed="false">
      <c r="A11" s="5" t="s">
        <v>65</v>
      </c>
      <c r="B11" s="6" t="s">
        <v>16</v>
      </c>
      <c r="C11" s="6" t="s">
        <v>66</v>
      </c>
      <c r="D11" s="7" t="s">
        <v>67</v>
      </c>
      <c r="E11" s="6" t="s">
        <v>40</v>
      </c>
      <c r="F11" s="6" t="s">
        <v>48</v>
      </c>
      <c r="G11" s="6" t="s">
        <v>63</v>
      </c>
      <c r="H11" s="6" t="s">
        <v>22</v>
      </c>
      <c r="I11" s="7" t="s">
        <v>49</v>
      </c>
      <c r="J11" s="7" t="s">
        <v>24</v>
      </c>
      <c r="K11" s="6" t="s">
        <v>68</v>
      </c>
      <c r="L11" s="6" t="s">
        <v>35</v>
      </c>
      <c r="M11" s="7" t="s">
        <v>45</v>
      </c>
    </row>
    <row r="12" customFormat="false" ht="15" hidden="false" customHeight="true" outlineLevel="0" collapsed="false">
      <c r="A12" s="5" t="s">
        <v>69</v>
      </c>
      <c r="B12" s="6" t="s">
        <v>16</v>
      </c>
      <c r="C12" s="6" t="s">
        <v>70</v>
      </c>
      <c r="D12" s="7" t="s">
        <v>71</v>
      </c>
      <c r="E12" s="6" t="s">
        <v>2</v>
      </c>
      <c r="F12" s="6" t="s">
        <v>72</v>
      </c>
      <c r="G12" s="6" t="s">
        <v>73</v>
      </c>
      <c r="H12" s="6" t="s">
        <v>22</v>
      </c>
      <c r="I12" s="7" t="s">
        <v>23</v>
      </c>
      <c r="J12" s="7" t="s">
        <v>50</v>
      </c>
      <c r="K12" s="6" t="s">
        <v>74</v>
      </c>
      <c r="L12" s="6" t="s">
        <v>35</v>
      </c>
      <c r="M12" s="7" t="s">
        <v>75</v>
      </c>
    </row>
    <row r="13" customFormat="false" ht="23.25" hidden="false" customHeight="true" outlineLevel="0" collapsed="false">
      <c r="A13" s="5" t="s">
        <v>76</v>
      </c>
      <c r="B13" s="6" t="s">
        <v>16</v>
      </c>
      <c r="C13" s="6" t="s">
        <v>77</v>
      </c>
      <c r="D13" s="7" t="s">
        <v>78</v>
      </c>
      <c r="E13" s="6" t="s">
        <v>79</v>
      </c>
      <c r="F13" s="6" t="s">
        <v>80</v>
      </c>
      <c r="G13" s="6" t="s">
        <v>81</v>
      </c>
      <c r="H13" s="6" t="s">
        <v>22</v>
      </c>
      <c r="I13" s="7" t="s">
        <v>49</v>
      </c>
      <c r="J13" s="7" t="s">
        <v>50</v>
      </c>
      <c r="K13" s="6" t="s">
        <v>82</v>
      </c>
      <c r="L13" s="6" t="s">
        <v>35</v>
      </c>
      <c r="M13" s="7" t="s">
        <v>75</v>
      </c>
    </row>
    <row r="14" customFormat="false" ht="23.25" hidden="false" customHeight="true" outlineLevel="0" collapsed="false">
      <c r="A14" s="5" t="s">
        <v>83</v>
      </c>
      <c r="B14" s="6" t="s">
        <v>16</v>
      </c>
      <c r="C14" s="6" t="s">
        <v>84</v>
      </c>
      <c r="D14" s="7" t="s">
        <v>39</v>
      </c>
      <c r="E14" s="6" t="s">
        <v>2</v>
      </c>
      <c r="F14" s="6" t="s">
        <v>85</v>
      </c>
      <c r="G14" s="6" t="s">
        <v>86</v>
      </c>
      <c r="H14" s="6" t="s">
        <v>87</v>
      </c>
      <c r="I14" s="7" t="s">
        <v>87</v>
      </c>
      <c r="J14" s="7" t="s">
        <v>88</v>
      </c>
      <c r="K14" s="6" t="s">
        <v>89</v>
      </c>
      <c r="L14" s="6" t="s">
        <v>87</v>
      </c>
      <c r="M14" s="7" t="s">
        <v>90</v>
      </c>
    </row>
    <row r="15" customFormat="false" ht="23.25" hidden="false" customHeight="true" outlineLevel="0" collapsed="false">
      <c r="A15" s="5" t="s">
        <v>91</v>
      </c>
      <c r="B15" s="6" t="s">
        <v>92</v>
      </c>
      <c r="C15" s="6" t="s">
        <v>93</v>
      </c>
      <c r="D15" s="7" t="s">
        <v>94</v>
      </c>
      <c r="E15" s="6" t="s">
        <v>95</v>
      </c>
      <c r="F15" s="6" t="s">
        <v>96</v>
      </c>
      <c r="G15" s="6" t="s">
        <v>97</v>
      </c>
      <c r="H15" s="6" t="s">
        <v>98</v>
      </c>
      <c r="I15" s="7" t="s">
        <v>87</v>
      </c>
      <c r="J15" s="7" t="s">
        <v>50</v>
      </c>
      <c r="K15" s="6" t="s">
        <v>99</v>
      </c>
      <c r="L15" s="6" t="s">
        <v>100</v>
      </c>
      <c r="M15" s="7" t="s">
        <v>90</v>
      </c>
    </row>
    <row r="16" customFormat="false" ht="15" hidden="false" customHeight="true" outlineLevel="0" collapsed="false">
      <c r="A16" s="5" t="s">
        <v>101</v>
      </c>
      <c r="B16" s="6" t="s">
        <v>92</v>
      </c>
      <c r="C16" s="6" t="s">
        <v>102</v>
      </c>
      <c r="D16" s="7" t="s">
        <v>103</v>
      </c>
      <c r="E16" s="6" t="s">
        <v>95</v>
      </c>
      <c r="F16" s="6" t="s">
        <v>96</v>
      </c>
      <c r="G16" s="6" t="s">
        <v>97</v>
      </c>
      <c r="H16" s="6" t="s">
        <v>98</v>
      </c>
      <c r="I16" s="7" t="s">
        <v>87</v>
      </c>
      <c r="J16" s="7" t="s">
        <v>24</v>
      </c>
      <c r="K16" s="6" t="s">
        <v>104</v>
      </c>
      <c r="L16" s="6" t="s">
        <v>100</v>
      </c>
      <c r="M16" s="7" t="s">
        <v>90</v>
      </c>
    </row>
    <row r="17" customFormat="false" ht="23.25" hidden="false" customHeight="true" outlineLevel="0" collapsed="false">
      <c r="A17" s="5" t="s">
        <v>105</v>
      </c>
      <c r="B17" s="6" t="s">
        <v>106</v>
      </c>
      <c r="C17" s="6" t="s">
        <v>107</v>
      </c>
      <c r="D17" s="7" t="s">
        <v>108</v>
      </c>
      <c r="E17" s="6" t="s">
        <v>109</v>
      </c>
      <c r="F17" s="6" t="s">
        <v>110</v>
      </c>
      <c r="G17" s="6" t="s">
        <v>111</v>
      </c>
      <c r="H17" s="6" t="s">
        <v>112</v>
      </c>
      <c r="I17" s="7" t="s">
        <v>23</v>
      </c>
      <c r="J17" s="7" t="s">
        <v>24</v>
      </c>
      <c r="K17" s="6" t="s">
        <v>113</v>
      </c>
      <c r="L17" s="6" t="s">
        <v>114</v>
      </c>
      <c r="M17" s="7" t="s">
        <v>115</v>
      </c>
    </row>
    <row r="18" customFormat="false" ht="23.25" hidden="false" customHeight="true" outlineLevel="0" collapsed="false">
      <c r="A18" s="5" t="s">
        <v>116</v>
      </c>
      <c r="B18" s="6" t="s">
        <v>117</v>
      </c>
      <c r="C18" s="6" t="s">
        <v>118</v>
      </c>
      <c r="D18" s="7" t="s">
        <v>119</v>
      </c>
      <c r="E18" s="6" t="s">
        <v>120</v>
      </c>
      <c r="F18" s="6" t="s">
        <v>121</v>
      </c>
      <c r="G18" s="6" t="s">
        <v>122</v>
      </c>
      <c r="H18" s="6" t="s">
        <v>123</v>
      </c>
      <c r="I18" s="7" t="s">
        <v>33</v>
      </c>
      <c r="J18" s="7" t="s">
        <v>50</v>
      </c>
      <c r="K18" s="6" t="s">
        <v>124</v>
      </c>
      <c r="L18" s="6" t="s">
        <v>125</v>
      </c>
      <c r="M18" s="7" t="s">
        <v>90</v>
      </c>
    </row>
    <row r="19" customFormat="false" ht="23.25" hidden="false" customHeight="true" outlineLevel="0" collapsed="false">
      <c r="A19" s="5" t="s">
        <v>126</v>
      </c>
      <c r="B19" s="6" t="s">
        <v>117</v>
      </c>
      <c r="C19" s="6" t="s">
        <v>127</v>
      </c>
      <c r="D19" s="7" t="s">
        <v>128</v>
      </c>
      <c r="E19" s="6" t="s">
        <v>40</v>
      </c>
      <c r="F19" s="6" t="s">
        <v>72</v>
      </c>
      <c r="G19" s="6" t="s">
        <v>129</v>
      </c>
      <c r="H19" s="6" t="s">
        <v>123</v>
      </c>
      <c r="I19" s="7" t="s">
        <v>49</v>
      </c>
      <c r="J19" s="7" t="s">
        <v>50</v>
      </c>
      <c r="K19" s="6" t="s">
        <v>130</v>
      </c>
      <c r="L19" s="6" t="s">
        <v>35</v>
      </c>
      <c r="M19" s="7" t="s">
        <v>90</v>
      </c>
    </row>
    <row r="20" customFormat="false" ht="23.25" hidden="false" customHeight="true" outlineLevel="0" collapsed="false">
      <c r="A20" s="5" t="s">
        <v>131</v>
      </c>
      <c r="B20" s="6" t="s">
        <v>117</v>
      </c>
      <c r="C20" s="6" t="s">
        <v>132</v>
      </c>
      <c r="D20" s="7" t="s">
        <v>133</v>
      </c>
      <c r="E20" s="6" t="s">
        <v>40</v>
      </c>
      <c r="F20" s="6" t="s">
        <v>134</v>
      </c>
      <c r="G20" s="6" t="s">
        <v>135</v>
      </c>
      <c r="H20" s="6" t="s">
        <v>123</v>
      </c>
      <c r="I20" s="7" t="s">
        <v>49</v>
      </c>
      <c r="J20" s="7" t="s">
        <v>56</v>
      </c>
      <c r="K20" s="6" t="s">
        <v>136</v>
      </c>
      <c r="L20" s="6" t="s">
        <v>137</v>
      </c>
      <c r="M20" s="7" t="s">
        <v>90</v>
      </c>
    </row>
    <row r="21" customFormat="false" ht="23.25" hidden="false" customHeight="true" outlineLevel="0" collapsed="false">
      <c r="A21" s="5" t="s">
        <v>138</v>
      </c>
      <c r="B21" s="6" t="s">
        <v>117</v>
      </c>
      <c r="C21" s="6" t="s">
        <v>139</v>
      </c>
      <c r="D21" s="7" t="s">
        <v>78</v>
      </c>
      <c r="E21" s="6" t="s">
        <v>140</v>
      </c>
      <c r="F21" s="6" t="s">
        <v>141</v>
      </c>
      <c r="G21" s="6" t="s">
        <v>142</v>
      </c>
      <c r="H21" s="6" t="s">
        <v>143</v>
      </c>
      <c r="I21" s="7" t="s">
        <v>144</v>
      </c>
      <c r="J21" s="7" t="s">
        <v>50</v>
      </c>
      <c r="K21" s="6" t="s">
        <v>145</v>
      </c>
      <c r="L21" s="6" t="s">
        <v>35</v>
      </c>
      <c r="M21" s="7" t="s">
        <v>146</v>
      </c>
    </row>
    <row r="22" customFormat="false" ht="23.25" hidden="false" customHeight="true" outlineLevel="0" collapsed="false">
      <c r="A22" s="5" t="s">
        <v>147</v>
      </c>
      <c r="B22" s="6" t="s">
        <v>106</v>
      </c>
      <c r="C22" s="6" t="s">
        <v>148</v>
      </c>
      <c r="D22" s="7" t="s">
        <v>149</v>
      </c>
      <c r="E22" s="6" t="s">
        <v>150</v>
      </c>
      <c r="F22" s="6" t="s">
        <v>151</v>
      </c>
      <c r="G22" s="6" t="s">
        <v>152</v>
      </c>
      <c r="H22" s="6" t="s">
        <v>153</v>
      </c>
      <c r="I22" s="7" t="s">
        <v>23</v>
      </c>
      <c r="J22" s="7" t="s">
        <v>50</v>
      </c>
      <c r="K22" s="6" t="s">
        <v>154</v>
      </c>
      <c r="L22" s="6" t="s">
        <v>155</v>
      </c>
      <c r="M22" s="7" t="s">
        <v>156</v>
      </c>
    </row>
    <row r="23" customFormat="false" ht="23.25" hidden="false" customHeight="true" outlineLevel="0" collapsed="false">
      <c r="A23" s="5" t="s">
        <v>157</v>
      </c>
      <c r="B23" s="6" t="s">
        <v>106</v>
      </c>
      <c r="C23" s="6" t="s">
        <v>158</v>
      </c>
      <c r="D23" s="7" t="s">
        <v>159</v>
      </c>
      <c r="E23" s="6" t="s">
        <v>150</v>
      </c>
      <c r="F23" s="6" t="s">
        <v>151</v>
      </c>
      <c r="G23" s="6" t="s">
        <v>152</v>
      </c>
      <c r="H23" s="6" t="s">
        <v>153</v>
      </c>
      <c r="I23" s="7" t="s">
        <v>49</v>
      </c>
      <c r="J23" s="7" t="s">
        <v>50</v>
      </c>
      <c r="K23" s="6" t="s">
        <v>160</v>
      </c>
      <c r="L23" s="6" t="s">
        <v>155</v>
      </c>
      <c r="M23" s="7" t="s">
        <v>156</v>
      </c>
    </row>
    <row r="24" customFormat="false" ht="23.25" hidden="false" customHeight="true" outlineLevel="0" collapsed="false">
      <c r="A24" s="5" t="s">
        <v>161</v>
      </c>
      <c r="B24" s="6" t="s">
        <v>106</v>
      </c>
      <c r="C24" s="6" t="s">
        <v>162</v>
      </c>
      <c r="D24" s="7" t="s">
        <v>163</v>
      </c>
      <c r="E24" s="6" t="s">
        <v>150</v>
      </c>
      <c r="F24" s="6" t="s">
        <v>151</v>
      </c>
      <c r="G24" s="6" t="s">
        <v>152</v>
      </c>
      <c r="H24" s="6" t="s">
        <v>153</v>
      </c>
      <c r="I24" s="7" t="s">
        <v>49</v>
      </c>
      <c r="J24" s="7" t="s">
        <v>24</v>
      </c>
      <c r="K24" s="6" t="s">
        <v>164</v>
      </c>
      <c r="L24" s="6" t="s">
        <v>155</v>
      </c>
      <c r="M24" s="7" t="s">
        <v>156</v>
      </c>
    </row>
    <row r="25" customFormat="false" ht="23.25" hidden="false" customHeight="true" outlineLevel="0" collapsed="false">
      <c r="A25" s="5" t="s">
        <v>165</v>
      </c>
      <c r="B25" s="6" t="s">
        <v>106</v>
      </c>
      <c r="C25" s="6" t="s">
        <v>166</v>
      </c>
      <c r="D25" s="7" t="s">
        <v>167</v>
      </c>
      <c r="E25" s="6" t="s">
        <v>150</v>
      </c>
      <c r="F25" s="6" t="s">
        <v>151</v>
      </c>
      <c r="G25" s="6" t="s">
        <v>152</v>
      </c>
      <c r="H25" s="6" t="s">
        <v>153</v>
      </c>
      <c r="I25" s="7" t="s">
        <v>49</v>
      </c>
      <c r="J25" s="7" t="s">
        <v>24</v>
      </c>
      <c r="K25" s="6" t="s">
        <v>168</v>
      </c>
      <c r="L25" s="6" t="s">
        <v>155</v>
      </c>
      <c r="M25" s="7" t="s">
        <v>156</v>
      </c>
    </row>
    <row r="26" customFormat="false" ht="23.25" hidden="false" customHeight="true" outlineLevel="0" collapsed="false">
      <c r="A26" s="5" t="s">
        <v>169</v>
      </c>
      <c r="B26" s="6" t="s">
        <v>106</v>
      </c>
      <c r="C26" s="6" t="s">
        <v>170</v>
      </c>
      <c r="D26" s="7" t="s">
        <v>171</v>
      </c>
      <c r="E26" s="6" t="s">
        <v>150</v>
      </c>
      <c r="F26" s="6" t="s">
        <v>151</v>
      </c>
      <c r="G26" s="6" t="s">
        <v>152</v>
      </c>
      <c r="H26" s="6" t="s">
        <v>153</v>
      </c>
      <c r="I26" s="7" t="s">
        <v>49</v>
      </c>
      <c r="J26" s="7" t="s">
        <v>56</v>
      </c>
      <c r="K26" s="6" t="s">
        <v>172</v>
      </c>
      <c r="L26" s="6" t="s">
        <v>155</v>
      </c>
      <c r="M26" s="7" t="s">
        <v>156</v>
      </c>
    </row>
    <row r="27" customFormat="false" ht="23.25" hidden="false" customHeight="true" outlineLevel="0" collapsed="false">
      <c r="A27" s="5" t="s">
        <v>173</v>
      </c>
      <c r="B27" s="6" t="s">
        <v>106</v>
      </c>
      <c r="C27" s="6" t="s">
        <v>174</v>
      </c>
      <c r="D27" s="7" t="s">
        <v>175</v>
      </c>
      <c r="E27" s="6" t="s">
        <v>120</v>
      </c>
      <c r="F27" s="6" t="s">
        <v>176</v>
      </c>
      <c r="G27" s="6" t="s">
        <v>177</v>
      </c>
      <c r="H27" s="6" t="s">
        <v>178</v>
      </c>
      <c r="I27" s="7" t="s">
        <v>49</v>
      </c>
      <c r="J27" s="7" t="s">
        <v>56</v>
      </c>
      <c r="K27" s="6" t="s">
        <v>179</v>
      </c>
      <c r="L27" s="6" t="s">
        <v>180</v>
      </c>
      <c r="M27" s="7" t="s">
        <v>181</v>
      </c>
    </row>
    <row r="28" customFormat="false" ht="23.25" hidden="false" customHeight="true" outlineLevel="0" collapsed="false">
      <c r="A28" s="5" t="s">
        <v>182</v>
      </c>
      <c r="B28" s="6" t="s">
        <v>106</v>
      </c>
      <c r="C28" s="6" t="s">
        <v>183</v>
      </c>
      <c r="D28" s="7" t="s">
        <v>184</v>
      </c>
      <c r="E28" s="6" t="s">
        <v>109</v>
      </c>
      <c r="F28" s="6" t="s">
        <v>185</v>
      </c>
      <c r="G28" s="6" t="s">
        <v>186</v>
      </c>
      <c r="H28" s="6" t="s">
        <v>187</v>
      </c>
      <c r="I28" s="7" t="s">
        <v>49</v>
      </c>
      <c r="J28" s="7" t="s">
        <v>56</v>
      </c>
      <c r="K28" s="6" t="s">
        <v>188</v>
      </c>
      <c r="L28" s="6" t="s">
        <v>189</v>
      </c>
      <c r="M28" s="7" t="s">
        <v>190</v>
      </c>
    </row>
  </sheetData>
  <conditionalFormatting sqref="J5:J28">
    <cfRule type="cellIs" priority="2" operator="equal" aboveAverage="0" equalAverage="0" bottom="0" percent="0" rank="0" text="" dxfId="0">
      <formula>"Essentielle"</formula>
    </cfRule>
    <cfRule type="cellIs" priority="3" operator="equal" aboveAverage="0" equalAverage="0" bottom="0" percent="0" rank="0" text="" dxfId="1">
      <formula>"Utile"</formula>
    </cfRule>
    <cfRule type="cellIs" priority="4" operator="equal" aboveAverage="0" equalAverage="0" bottom="0" percent="0" rank="0" text="" dxfId="2">
      <formula>"À écarter"</formula>
    </cfRule>
  </conditionalFormatting>
  <conditionalFormatting sqref="M5:M28">
    <cfRule type="cellIs" priority="5" operator="equal" aboveAverage="0" equalAverage="0" bottom="0" percent="0" rank="0" text="" dxfId="0">
      <formula>"Terminé"</formula>
    </cfRule>
  </conditionalFormatting>
  <dataValidations count="2">
    <dataValidation allowBlank="false" errorStyle="stop" operator="between" showDropDown="false" showErrorMessage="false" showInputMessage="false" sqref="M5:M28" type="list">
      <formula1>"À faire,En cours,Terminé"</formula1>
      <formula2>0</formula2>
    </dataValidation>
    <dataValidation allowBlank="false" errorStyle="stop" operator="between" showDropDown="false" showErrorMessage="false" showInputMessage="false" sqref="J5:J28" type="list">
      <formula1>"Essentielle,Utile,Optionnelle,À écarter"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s>
  <sheetData>
    <row r="1" customFormat="false" ht="17.25" hidden="false" customHeight="true" outlineLevel="0" collapsed="false">
      <c r="A1" s="2" t="s">
        <v>191</v>
      </c>
    </row>
    <row r="3" customFormat="false" ht="15" hidden="false" customHeight="true" outlineLevel="0" collapsed="false">
      <c r="A3" s="8" t="s">
        <v>11</v>
      </c>
      <c r="B3" s="8" t="s">
        <v>192</v>
      </c>
    </row>
    <row r="4" customFormat="false" ht="15" hidden="false" customHeight="true" outlineLevel="0" collapsed="false">
      <c r="A4" s="9" t="s">
        <v>24</v>
      </c>
      <c r="B4" s="10" t="n">
        <f aca="false">COUNTIF('Dictionnaire de données'!$J$5:$J$28,A4)</f>
        <v>9</v>
      </c>
    </row>
    <row r="5" customFormat="false" ht="15" hidden="false" customHeight="true" outlineLevel="0" collapsed="false">
      <c r="A5" s="9" t="s">
        <v>50</v>
      </c>
      <c r="B5" s="10" t="n">
        <f aca="false">COUNTIF('Dictionnaire de données'!$J$5:$J$28,A5)</f>
        <v>9</v>
      </c>
    </row>
    <row r="6" customFormat="false" ht="15" hidden="false" customHeight="true" outlineLevel="0" collapsed="false">
      <c r="A6" s="9" t="s">
        <v>56</v>
      </c>
      <c r="B6" s="10" t="n">
        <f aca="false">COUNTIF('Dictionnaire de données'!$J$5:$J$28,A6)</f>
        <v>5</v>
      </c>
    </row>
    <row r="7" customFormat="false" ht="15" hidden="false" customHeight="true" outlineLevel="0" collapsed="false">
      <c r="A7" s="9" t="s">
        <v>88</v>
      </c>
      <c r="B7" s="10" t="n">
        <f aca="false">COUNTIF('Dictionnaire de données'!$J$5:$J$28,A7)</f>
        <v>1</v>
      </c>
    </row>
    <row r="8" customFormat="false" ht="15" hidden="false" customHeight="true" outlineLevel="0" collapsed="false">
      <c r="A8" s="11" t="s">
        <v>193</v>
      </c>
      <c r="B8" s="12" t="n">
        <f aca="false">SUM(B4:B7)</f>
        <v>24</v>
      </c>
    </row>
    <row r="10" customFormat="false" ht="15" hidden="false" customHeight="true" outlineLevel="0" collapsed="false">
      <c r="A10" s="13" t="s">
        <v>194</v>
      </c>
    </row>
    <row r="11" customFormat="false" ht="15" hidden="false" customHeight="true" outlineLevel="0" collapsed="false">
      <c r="A11" s="9" t="s">
        <v>22</v>
      </c>
      <c r="B11" s="10" t="n">
        <f aca="false">COUNTIF('Dictionnaire de données'!$H$5:$H$28,"*"&amp;A11&amp;"*")</f>
        <v>20</v>
      </c>
    </row>
    <row r="12" customFormat="false" ht="15" hidden="false" customHeight="true" outlineLevel="0" collapsed="false">
      <c r="A12" s="9" t="s">
        <v>195</v>
      </c>
      <c r="B12" s="10" t="n">
        <f aca="false">COUNTIF('Dictionnaire de données'!$H$5:$H$28,"*"&amp;A12&amp;"*")</f>
        <v>5</v>
      </c>
    </row>
    <row r="13" customFormat="false" ht="15" hidden="false" customHeight="true" outlineLevel="0" collapsed="false">
      <c r="A13" s="9" t="s">
        <v>98</v>
      </c>
      <c r="B13" s="10" t="n">
        <f aca="false">COUNTIF('Dictionnaire de données'!$H$5:$H$28,"*"&amp;A13&amp;"*")</f>
        <v>2</v>
      </c>
    </row>
    <row r="14" customFormat="false" ht="15" hidden="false" customHeight="true" outlineLevel="0" collapsed="false">
      <c r="A14" s="9" t="s">
        <v>196</v>
      </c>
      <c r="B14" s="10" t="n">
        <f aca="false">COUNTIF('Dictionnaire de données'!$H$5:$H$28,"*"&amp;A14&amp;"*")</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0"/>
  </cols>
  <sheetData>
    <row r="1" customFormat="false" ht="17.25" hidden="false" customHeight="true" outlineLevel="0" collapsed="false">
      <c r="A1" s="2" t="s">
        <v>197</v>
      </c>
    </row>
    <row r="3" customFormat="false" ht="15" hidden="false" customHeight="true" outlineLevel="0" collapsed="false">
      <c r="A3" s="14" t="s">
        <v>198</v>
      </c>
      <c r="B3" s="14" t="s">
        <v>199</v>
      </c>
    </row>
    <row r="4" customFormat="false" ht="23.25" hidden="false" customHeight="true" outlineLevel="0" collapsed="false">
      <c r="A4" s="15" t="s">
        <v>200</v>
      </c>
      <c r="B4" s="16" t="s">
        <v>201</v>
      </c>
    </row>
    <row r="5" customFormat="false" ht="15" hidden="false" customHeight="true" outlineLevel="0" collapsed="false">
      <c r="A5" s="15" t="s">
        <v>202</v>
      </c>
      <c r="B5" s="16" t="s">
        <v>203</v>
      </c>
    </row>
    <row r="6" customFormat="false" ht="23.25" hidden="false" customHeight="true" outlineLevel="0" collapsed="false">
      <c r="A6" s="15" t="s">
        <v>204</v>
      </c>
      <c r="B6" s="16" t="s">
        <v>205</v>
      </c>
    </row>
    <row r="7" customFormat="false" ht="15" hidden="false" customHeight="true" outlineLevel="0" collapsed="false">
      <c r="A7" s="15" t="s">
        <v>206</v>
      </c>
      <c r="B7" s="16" t="s">
        <v>207</v>
      </c>
    </row>
    <row r="8" customFormat="false" ht="15" hidden="false" customHeight="true" outlineLevel="0" collapsed="false">
      <c r="A8" s="15" t="s">
        <v>208</v>
      </c>
      <c r="B8" s="16" t="s">
        <v>209</v>
      </c>
    </row>
    <row r="9" customFormat="false" ht="23.25" hidden="false" customHeight="true" outlineLevel="0" collapsed="false">
      <c r="A9" s="15" t="s">
        <v>210</v>
      </c>
      <c r="B9" s="16" t="s">
        <v>211</v>
      </c>
    </row>
    <row r="10" customFormat="false" ht="15" hidden="false" customHeight="true" outlineLevel="0" collapsed="false">
      <c r="A10" s="15" t="s">
        <v>137</v>
      </c>
      <c r="B10" s="16" t="s">
        <v>212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50"/>
    <col collapsed="false" customWidth="true" hidden="false" outlineLevel="0" max="3" min="3" style="1" width="30"/>
    <col collapsed="false" customWidth="true" hidden="false" outlineLevel="0" max="4" min="4" style="1" width="70"/>
    <col collapsed="false" customWidth="true" hidden="false" outlineLevel="0" max="5" min="5" style="1" width="50"/>
  </cols>
  <sheetData>
    <row r="1" customFormat="false" ht="17.25" hidden="false" customHeight="true" outlineLevel="0" collapsed="false">
      <c r="A1" s="2" t="s">
        <v>213</v>
      </c>
    </row>
    <row r="2" customFormat="false" ht="15" hidden="false" customHeight="true" outlineLevel="0" collapsed="false">
      <c r="A2" s="3" t="s">
        <v>214</v>
      </c>
    </row>
    <row r="4" customFormat="false" ht="15" hidden="false" customHeight="true" outlineLevel="0" collapsed="false">
      <c r="A4" s="17" t="s">
        <v>215</v>
      </c>
      <c r="B4" s="17" t="s">
        <v>216</v>
      </c>
      <c r="C4" s="17" t="s">
        <v>217</v>
      </c>
      <c r="D4" s="17" t="s">
        <v>218</v>
      </c>
      <c r="E4" s="17" t="s">
        <v>219</v>
      </c>
    </row>
    <row r="5" customFormat="false" ht="94.5" hidden="false" customHeight="true" outlineLevel="0" collapsed="false">
      <c r="A5" s="15" t="s">
        <v>220</v>
      </c>
      <c r="B5" s="16" t="s">
        <v>221</v>
      </c>
      <c r="C5" s="16" t="s">
        <v>222</v>
      </c>
      <c r="D5" s="16" t="s">
        <v>223</v>
      </c>
      <c r="E5" s="16" t="s">
        <v>224</v>
      </c>
    </row>
    <row r="6" customFormat="false" ht="94.5" hidden="false" customHeight="true" outlineLevel="0" collapsed="false">
      <c r="A6" s="15" t="s">
        <v>220</v>
      </c>
      <c r="B6" s="16" t="s">
        <v>221</v>
      </c>
      <c r="C6" s="16" t="s">
        <v>225</v>
      </c>
      <c r="D6" s="16" t="s">
        <v>226</v>
      </c>
      <c r="E6" s="16" t="s">
        <v>227</v>
      </c>
    </row>
    <row r="7" customFormat="false" ht="94.5" hidden="false" customHeight="true" outlineLevel="0" collapsed="false">
      <c r="A7" s="15" t="s">
        <v>220</v>
      </c>
      <c r="B7" s="16" t="s">
        <v>221</v>
      </c>
      <c r="C7" s="16" t="s">
        <v>228</v>
      </c>
      <c r="D7" s="16" t="s">
        <v>229</v>
      </c>
      <c r="E7" s="16" t="s">
        <v>230</v>
      </c>
    </row>
    <row r="8" customFormat="false" ht="94.5" hidden="false" customHeight="true" outlineLevel="0" collapsed="false">
      <c r="A8" s="15" t="s">
        <v>231</v>
      </c>
      <c r="B8" s="16" t="s">
        <v>232</v>
      </c>
      <c r="C8" s="16" t="s">
        <v>233</v>
      </c>
      <c r="D8" s="16" t="s">
        <v>234</v>
      </c>
      <c r="E8" s="16" t="s">
        <v>235</v>
      </c>
    </row>
    <row r="9" customFormat="false" ht="94.5" hidden="false" customHeight="true" outlineLevel="0" collapsed="false">
      <c r="A9" s="15" t="s">
        <v>236</v>
      </c>
      <c r="B9" s="16" t="s">
        <v>87</v>
      </c>
      <c r="C9" s="16" t="s">
        <v>237</v>
      </c>
      <c r="D9" s="16" t="s">
        <v>238</v>
      </c>
      <c r="E9" s="16" t="s">
        <v>239</v>
      </c>
    </row>
    <row r="10" customFormat="false" ht="69.75" hidden="false" customHeight="true" outlineLevel="0" collapsed="false">
      <c r="A10" s="15" t="s">
        <v>240</v>
      </c>
      <c r="B10" s="16" t="s">
        <v>241</v>
      </c>
      <c r="C10" s="16" t="s">
        <v>242</v>
      </c>
      <c r="D10" s="16" t="s">
        <v>243</v>
      </c>
      <c r="E10" s="16" t="s">
        <v>244</v>
      </c>
    </row>
    <row r="11" customFormat="false" ht="69.75" hidden="false" customHeight="true" outlineLevel="0" collapsed="false">
      <c r="A11" s="15" t="s">
        <v>240</v>
      </c>
      <c r="B11" s="16" t="s">
        <v>241</v>
      </c>
      <c r="C11" s="16" t="s">
        <v>245</v>
      </c>
      <c r="D11" s="16" t="s">
        <v>246</v>
      </c>
      <c r="E11" s="16" t="s">
        <v>247</v>
      </c>
    </row>
    <row r="12" customFormat="false" ht="69.75" hidden="false" customHeight="true" outlineLevel="0" collapsed="false">
      <c r="A12" s="15" t="s">
        <v>240</v>
      </c>
      <c r="B12" s="16" t="s">
        <v>241</v>
      </c>
      <c r="C12" s="16" t="s">
        <v>248</v>
      </c>
      <c r="D12" s="16" t="s">
        <v>249</v>
      </c>
      <c r="E12" s="16" t="s">
        <v>250</v>
      </c>
    </row>
    <row r="13" customFormat="false" ht="69.75" hidden="false" customHeight="true" outlineLevel="0" collapsed="false">
      <c r="A13" s="15" t="s">
        <v>240</v>
      </c>
      <c r="B13" s="16" t="s">
        <v>241</v>
      </c>
      <c r="C13" s="16" t="s">
        <v>251</v>
      </c>
      <c r="D13" s="16" t="s">
        <v>252</v>
      </c>
      <c r="E13" s="16" t="s">
        <v>253</v>
      </c>
    </row>
    <row r="14" customFormat="false" ht="69.75" hidden="false" customHeight="true" outlineLevel="0" collapsed="false">
      <c r="A14" s="15" t="s">
        <v>240</v>
      </c>
      <c r="B14" s="16" t="s">
        <v>241</v>
      </c>
      <c r="C14" s="16" t="s">
        <v>254</v>
      </c>
      <c r="D14" s="16" t="s">
        <v>255</v>
      </c>
      <c r="E14" s="16" t="s">
        <v>256</v>
      </c>
    </row>
    <row r="16" customFormat="false" ht="15" hidden="false" customHeight="true" outlineLevel="0" collapsed="false">
      <c r="A16" s="18" t="s">
        <v>257</v>
      </c>
    </row>
    <row r="17" customFormat="false" ht="94.5" hidden="false" customHeight="true" outlineLevel="0" collapsed="false">
      <c r="A17" s="19" t="s">
        <v>258</v>
      </c>
      <c r="B17" s="19"/>
      <c r="C17" s="19"/>
      <c r="D17" s="19"/>
      <c r="E17" s="19"/>
    </row>
  </sheetData>
  <mergeCells count="1">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8"/>
    <col collapsed="false" customWidth="true" hidden="false" outlineLevel="0" max="3" min="3" style="1" width="48"/>
    <col collapsed="false" customWidth="true" hidden="false" outlineLevel="0" max="4" min="4" style="1" width="70"/>
    <col collapsed="false" customWidth="true" hidden="false" outlineLevel="0" max="5" min="5" style="1" width="60"/>
  </cols>
  <sheetData>
    <row r="1" customFormat="false" ht="17.25" hidden="false" customHeight="true" outlineLevel="0" collapsed="false">
      <c r="A1" s="2" t="s">
        <v>259</v>
      </c>
    </row>
    <row r="2" customFormat="false" ht="15" hidden="false" customHeight="true" outlineLevel="0" collapsed="false">
      <c r="A2" s="20" t="s">
        <v>260</v>
      </c>
    </row>
    <row r="4" customFormat="false" ht="15" hidden="false" customHeight="true" outlineLevel="0" collapsed="false">
      <c r="A4" s="17" t="s">
        <v>8</v>
      </c>
      <c r="B4" s="17" t="s">
        <v>215</v>
      </c>
      <c r="C4" s="17" t="s">
        <v>216</v>
      </c>
      <c r="D4" s="17" t="s">
        <v>218</v>
      </c>
      <c r="E4" s="17" t="s">
        <v>261</v>
      </c>
    </row>
    <row r="5" customFormat="false" ht="34.5" hidden="false" customHeight="true" outlineLevel="0" collapsed="false">
      <c r="A5" s="16" t="s">
        <v>262</v>
      </c>
      <c r="B5" s="16" t="s">
        <v>263</v>
      </c>
      <c r="C5" s="16" t="s">
        <v>264</v>
      </c>
      <c r="D5" s="16" t="s">
        <v>265</v>
      </c>
      <c r="E5" s="16" t="s">
        <v>266</v>
      </c>
    </row>
    <row r="6" customFormat="false" ht="34.5" hidden="false" customHeight="true" outlineLevel="0" collapsed="false">
      <c r="A6" s="16" t="s">
        <v>262</v>
      </c>
      <c r="B6" s="16" t="s">
        <v>267</v>
      </c>
      <c r="C6" s="16" t="s">
        <v>268</v>
      </c>
      <c r="D6" s="16" t="s">
        <v>269</v>
      </c>
      <c r="E6" s="16" t="s">
        <v>270</v>
      </c>
    </row>
    <row r="7" customFormat="false" ht="23.25" hidden="false" customHeight="true" outlineLevel="0" collapsed="false">
      <c r="A7" s="16" t="s">
        <v>262</v>
      </c>
      <c r="B7" s="16" t="s">
        <v>271</v>
      </c>
      <c r="C7" s="16" t="s">
        <v>272</v>
      </c>
      <c r="D7" s="16" t="s">
        <v>273</v>
      </c>
      <c r="E7" s="16" t="s">
        <v>274</v>
      </c>
    </row>
    <row r="8" customFormat="false" ht="45.75" hidden="false" customHeight="true" outlineLevel="0" collapsed="false">
      <c r="A8" s="16" t="s">
        <v>275</v>
      </c>
      <c r="B8" s="16" t="s">
        <v>276</v>
      </c>
      <c r="C8" s="16" t="s">
        <v>277</v>
      </c>
      <c r="D8" s="16" t="s">
        <v>278</v>
      </c>
      <c r="E8" s="16" t="s">
        <v>279</v>
      </c>
    </row>
    <row r="9" customFormat="false" ht="23.25" hidden="false" customHeight="true" outlineLevel="0" collapsed="false">
      <c r="A9" s="16" t="s">
        <v>275</v>
      </c>
      <c r="B9" s="16" t="s">
        <v>280</v>
      </c>
      <c r="C9" s="16" t="s">
        <v>281</v>
      </c>
      <c r="D9" s="16" t="s">
        <v>282</v>
      </c>
      <c r="E9" s="16" t="s">
        <v>283</v>
      </c>
    </row>
    <row r="10" customFormat="false" ht="23.25" hidden="false" customHeight="true" outlineLevel="0" collapsed="false">
      <c r="A10" s="16" t="s">
        <v>275</v>
      </c>
      <c r="B10" s="16" t="s">
        <v>284</v>
      </c>
      <c r="C10" s="16" t="s">
        <v>285</v>
      </c>
      <c r="D10" s="16" t="s">
        <v>286</v>
      </c>
      <c r="E10" s="16" t="s">
        <v>287</v>
      </c>
    </row>
    <row r="11" customFormat="false" ht="45.75" hidden="false" customHeight="true" outlineLevel="0" collapsed="false">
      <c r="A11" s="16" t="s">
        <v>288</v>
      </c>
      <c r="B11" s="16" t="s">
        <v>289</v>
      </c>
      <c r="C11" s="16" t="s">
        <v>290</v>
      </c>
      <c r="D11" s="16" t="s">
        <v>291</v>
      </c>
      <c r="E11" s="16" t="s">
        <v>292</v>
      </c>
    </row>
    <row r="12" customFormat="false" ht="23.25" hidden="false" customHeight="true" outlineLevel="0" collapsed="false">
      <c r="A12" s="16" t="s">
        <v>288</v>
      </c>
      <c r="B12" s="16" t="s">
        <v>293</v>
      </c>
      <c r="C12" s="16" t="s">
        <v>294</v>
      </c>
      <c r="D12" s="16" t="s">
        <v>295</v>
      </c>
      <c r="E12" s="16" t="s">
        <v>296</v>
      </c>
    </row>
    <row r="13" customFormat="false" ht="23.25" hidden="false" customHeight="true" outlineLevel="0" collapsed="false">
      <c r="A13" s="16" t="s">
        <v>288</v>
      </c>
      <c r="B13" s="16" t="s">
        <v>297</v>
      </c>
      <c r="C13" s="16" t="s">
        <v>298</v>
      </c>
      <c r="D13" s="16" t="s">
        <v>299</v>
      </c>
      <c r="E13" s="16" t="s">
        <v>300</v>
      </c>
    </row>
    <row r="14" customFormat="false" ht="34.5" hidden="false" customHeight="true" outlineLevel="0" collapsed="false">
      <c r="A14" s="16" t="s">
        <v>301</v>
      </c>
      <c r="B14" s="16" t="s">
        <v>302</v>
      </c>
      <c r="C14" s="16" t="s">
        <v>303</v>
      </c>
      <c r="D14" s="16" t="s">
        <v>304</v>
      </c>
      <c r="E14" s="16" t="s">
        <v>305</v>
      </c>
    </row>
    <row r="15" customFormat="false" ht="34.5" hidden="false" customHeight="true" outlineLevel="0" collapsed="false">
      <c r="A15" s="16" t="s">
        <v>301</v>
      </c>
      <c r="B15" s="16" t="s">
        <v>306</v>
      </c>
      <c r="C15" s="16" t="s">
        <v>307</v>
      </c>
      <c r="D15" s="16" t="s">
        <v>308</v>
      </c>
      <c r="E15" s="16" t="s">
        <v>309</v>
      </c>
    </row>
    <row r="16" customFormat="false" ht="45.75" hidden="false" customHeight="true" outlineLevel="0" collapsed="false">
      <c r="A16" s="18" t="s">
        <v>310</v>
      </c>
      <c r="B16" s="1" t="s">
        <v>311</v>
      </c>
      <c r="C16" s="1" t="s">
        <v>312</v>
      </c>
      <c r="D16" s="1" t="s">
        <v>313</v>
      </c>
      <c r="E16" s="1" t="s">
        <v>314</v>
      </c>
    </row>
    <row r="17" customFormat="false" ht="15" hidden="false" customHeight="true" outlineLevel="0" collapsed="false">
      <c r="A17" s="1" t="s">
        <v>310</v>
      </c>
      <c r="B17" s="1" t="s">
        <v>315</v>
      </c>
      <c r="C17" s="1" t="s">
        <v>316</v>
      </c>
      <c r="D17" s="1" t="s">
        <v>317</v>
      </c>
      <c r="E17" s="1" t="s">
        <v>318</v>
      </c>
    </row>
    <row r="18" customFormat="false" ht="15" hidden="false" customHeight="true" outlineLevel="0" collapsed="false">
      <c r="A18" s="16" t="s">
        <v>319</v>
      </c>
      <c r="B18" s="16" t="s">
        <v>320</v>
      </c>
      <c r="C18" s="16" t="s">
        <v>321</v>
      </c>
      <c r="D18" s="16" t="s">
        <v>322</v>
      </c>
      <c r="E18" s="16" t="s">
        <v>323</v>
      </c>
    </row>
    <row r="19" customFormat="false" ht="15" hidden="false" customHeight="true" outlineLevel="0" collapsed="false">
      <c r="A19" s="16" t="s">
        <v>324</v>
      </c>
      <c r="B19" s="16" t="s">
        <v>325</v>
      </c>
      <c r="C19" s="16" t="s">
        <v>326</v>
      </c>
      <c r="D19" s="16" t="s">
        <v>327</v>
      </c>
      <c r="E19" s="16" t="s">
        <v>328</v>
      </c>
    </row>
    <row r="20" customFormat="false" ht="15" hidden="false" customHeight="true" outlineLevel="0" collapsed="false">
      <c r="A20" s="16" t="s">
        <v>324</v>
      </c>
      <c r="B20" s="16" t="s">
        <v>329</v>
      </c>
      <c r="C20" s="16" t="s">
        <v>330</v>
      </c>
      <c r="D20" s="16" t="s">
        <v>331</v>
      </c>
      <c r="E20" s="16" t="s">
        <v>332</v>
      </c>
    </row>
    <row r="21" customFormat="false" ht="15" hidden="false" customHeight="true" outlineLevel="0" collapsed="false">
      <c r="A21" s="16" t="s">
        <v>333</v>
      </c>
    </row>
    <row r="22" customFormat="false" ht="75" hidden="false" customHeight="true" outlineLevel="0" collapsed="false"/>
    <row r="23" customFormat="false" ht="15" hidden="false" customHeight="true" outlineLevel="0" collapsed="false">
      <c r="A23" s="18" t="s">
        <v>257</v>
      </c>
    </row>
    <row r="24" customFormat="false" ht="90" hidden="false" customHeight="true" outlineLevel="0" collapsed="false">
      <c r="A24" s="19" t="s">
        <v>334</v>
      </c>
      <c r="B24" s="19"/>
      <c r="C24" s="19"/>
      <c r="D24" s="19"/>
      <c r="E24" s="19"/>
    </row>
  </sheetData>
  <mergeCells count="1">
    <mergeCell ref="A24:E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6"/>
    <col collapsed="false" customWidth="true" hidden="false" outlineLevel="0" max="4" min="4" style="1" width="40"/>
    <col collapsed="false" customWidth="true" hidden="false" outlineLevel="0" max="5" min="5" style="1" width="36"/>
    <col collapsed="false" customWidth="true" hidden="false" outlineLevel="0" max="6" min="6" style="1" width="44"/>
    <col collapsed="false" customWidth="true" hidden="false" outlineLevel="0" max="7" min="7" style="1" width="40"/>
    <col collapsed="false" customWidth="true" hidden="false" outlineLevel="0" max="8" min="8" style="1" width="52"/>
    <col collapsed="false" customWidth="true" hidden="false" outlineLevel="0" max="9" min="9" style="1" width="14"/>
    <col collapsed="false" customWidth="true" hidden="false" outlineLevel="0" max="10" min="10" style="1" width="22"/>
    <col collapsed="false" customWidth="true" hidden="false" outlineLevel="0" max="11" min="11" style="1" width="44"/>
    <col collapsed="false" customWidth="true" hidden="false" outlineLevel="0" max="12" min="12" style="1" width="18"/>
  </cols>
  <sheetData>
    <row r="1" customFormat="false" ht="17.25" hidden="false" customHeight="true" outlineLevel="0" collapsed="false">
      <c r="A1" s="2" t="s">
        <v>335</v>
      </c>
    </row>
    <row r="2" customFormat="false" ht="15" hidden="false" customHeight="true" outlineLevel="0" collapsed="false">
      <c r="A2" s="20" t="s">
        <v>336</v>
      </c>
    </row>
    <row r="4" customFormat="false" ht="30" hidden="false" customHeight="true" outlineLevel="0" collapsed="false">
      <c r="A4" s="17" t="s">
        <v>337</v>
      </c>
      <c r="B4" s="17" t="s">
        <v>338</v>
      </c>
      <c r="C4" s="17" t="s">
        <v>339</v>
      </c>
      <c r="D4" s="17" t="s">
        <v>340</v>
      </c>
      <c r="E4" s="17" t="s">
        <v>341</v>
      </c>
      <c r="F4" s="17" t="s">
        <v>342</v>
      </c>
      <c r="G4" s="17" t="s">
        <v>343</v>
      </c>
      <c r="H4" s="17" t="s">
        <v>344</v>
      </c>
      <c r="I4" s="17" t="s">
        <v>345</v>
      </c>
      <c r="J4" s="17" t="s">
        <v>14</v>
      </c>
      <c r="K4" s="17" t="s">
        <v>346</v>
      </c>
      <c r="L4" s="17" t="s">
        <v>347</v>
      </c>
    </row>
    <row r="5" customFormat="false" ht="90" hidden="false" customHeight="true" outlineLevel="0" collapsed="false">
      <c r="A5" s="16" t="s">
        <v>348</v>
      </c>
      <c r="B5" s="21" t="n">
        <v>46322</v>
      </c>
      <c r="C5" s="16" t="s">
        <v>349</v>
      </c>
      <c r="D5" s="16" t="s">
        <v>350</v>
      </c>
      <c r="E5" s="16" t="s">
        <v>351</v>
      </c>
      <c r="F5" s="16" t="s">
        <v>352</v>
      </c>
      <c r="G5" s="16" t="s">
        <v>353</v>
      </c>
      <c r="H5" s="16" t="s">
        <v>354</v>
      </c>
      <c r="I5" s="21" t="n">
        <v>46322</v>
      </c>
      <c r="J5" s="16" t="s">
        <v>355</v>
      </c>
      <c r="K5" s="16" t="s">
        <v>356</v>
      </c>
      <c r="L5" s="16" t="s">
        <v>357</v>
      </c>
    </row>
    <row r="6" customFormat="false" ht="79.5" hidden="false" customHeight="true" outlineLevel="0" collapsed="false">
      <c r="A6" s="16" t="s">
        <v>358</v>
      </c>
      <c r="B6" s="21" t="n">
        <v>46322</v>
      </c>
      <c r="C6" s="16" t="s">
        <v>359</v>
      </c>
      <c r="D6" s="16" t="s">
        <v>360</v>
      </c>
      <c r="E6" s="16" t="s">
        <v>361</v>
      </c>
      <c r="F6" s="16" t="s">
        <v>362</v>
      </c>
      <c r="G6" s="16" t="s">
        <v>363</v>
      </c>
      <c r="H6" s="16" t="s">
        <v>364</v>
      </c>
      <c r="I6" s="21" t="n">
        <v>46324</v>
      </c>
      <c r="J6" s="16" t="s">
        <v>355</v>
      </c>
      <c r="K6" s="16" t="s">
        <v>365</v>
      </c>
      <c r="L6" s="16" t="s">
        <v>366</v>
      </c>
    </row>
    <row r="7" customFormat="false" ht="79.5" hidden="false" customHeight="true" outlineLevel="0" collapsed="false">
      <c r="A7" s="16" t="s">
        <v>367</v>
      </c>
      <c r="B7" s="21" t="n">
        <v>46321</v>
      </c>
      <c r="C7" s="16" t="s">
        <v>368</v>
      </c>
      <c r="D7" s="16" t="s">
        <v>369</v>
      </c>
      <c r="E7" s="16" t="s">
        <v>370</v>
      </c>
      <c r="F7" s="16" t="s">
        <v>371</v>
      </c>
      <c r="G7" s="16" t="s">
        <v>372</v>
      </c>
      <c r="H7" s="16" t="s">
        <v>373</v>
      </c>
      <c r="I7" s="21"/>
      <c r="J7" s="16" t="s">
        <v>374</v>
      </c>
      <c r="K7" s="16" t="s">
        <v>375</v>
      </c>
      <c r="L7" s="16" t="s">
        <v>376</v>
      </c>
    </row>
    <row r="8" customFormat="false" ht="79.5" hidden="false" customHeight="true" outlineLevel="0" collapsed="false">
      <c r="A8" s="16" t="s">
        <v>377</v>
      </c>
      <c r="B8" s="21" t="n">
        <v>46321</v>
      </c>
      <c r="C8" s="16" t="s">
        <v>378</v>
      </c>
      <c r="D8" s="16" t="s">
        <v>379</v>
      </c>
      <c r="E8" s="16" t="s">
        <v>380</v>
      </c>
      <c r="F8" s="16" t="s">
        <v>381</v>
      </c>
      <c r="G8" s="16" t="s">
        <v>382</v>
      </c>
      <c r="H8" s="16" t="s">
        <v>383</v>
      </c>
      <c r="I8" s="21" t="n">
        <v>46321</v>
      </c>
      <c r="J8" s="16" t="s">
        <v>355</v>
      </c>
      <c r="K8" s="16" t="s">
        <v>384</v>
      </c>
      <c r="L8" s="16" t="s">
        <v>385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2026-10-26T14:26:39Z</dcterms:created>
  <dc:creator>openpyxl</dc:creator>
  <dc:description/>
  <dc:language>en-US</dc:language>
  <cp:lastModifiedBy/>
  <dcterms:modified xsi:type="dcterms:W3CDTF">2026-10-29T09:00:47Z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