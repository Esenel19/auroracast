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Vérification CGU sources" sheetId="5" state="visible" r:id="rId7"/>
    <sheet name="Journal des inciden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<sst xmlns="http://schemas.openxmlformats.org/spreadsheetml/2006/main" count="547" uniqueCount="372">
  <si>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</si>
  <si>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</si>
  <si>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</si>
  <si>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</si>
  <si>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</si>
  <si>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</si>
  <si>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</si>
  <si>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</si>
  <si>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</si>
  <si>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</si>
  <si>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</si>
  <si>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</si>
  <si>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</si>
  <si>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</si>
  <si>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</si>
  <si>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</si>
  <si>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</si>
  <si>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</si>
  <si>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</si>
  <si>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</si>
  <si>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</si>
  <si>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</si>
  <si>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</si>
  <si>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</si>
  <si>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</si>
  <si>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</si>
  <si>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</si>
  <si>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3 h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</si>
  <si>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</si>
  <si>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</si>
  <si>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</si>
  <si>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</si>
  <si>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</si>
  <si>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</si>
  <si>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</si>
  <si>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</si>
  <si>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3 h, avec date d'émission)</t>
  </si>
  <si>
    <t xml:space="preserve">Bz (IMF)</t>
  </si>
  <si>
    <t xml:space="preserve">Composante nord-sud du champ magnétique interplanétaire ; négatif = énergie qui entre dans la magnétosphère</t>
  </si>
  <si>
    <t xml:space="preserve">nT</t>
  </si>
  <si>
    <t xml:space="preserve">Minute</t>
  </si>
  <si>
    <t xml:space="preserve">Toutes les 3 h (le flux garde environ 20 h) ; agrégé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</si>
  <si>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</si>
  <si>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</si>
  <si>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</si>
  <si>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3 h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</si>
  <si>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</si>
  <si>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</si>
  <si>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</si>
  <si>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</si>
  <si>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</si>
  <si>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</si>
  <si>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</si>
  <si>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</si>
  <si>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</si>
  <si>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</si>
  <si>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</si>
  <si>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</si>
  <si>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</si>
  <si>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</si>
  <si>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</si>
  <si>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</si>
  <si>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</si>
  <si>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</si>
  <si>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</si>
  <si>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</si>
  <si>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</si>
  <si>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</si>
  <si>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</si>
  <si>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</si>
  <si>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</si>
  <si>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</si>
  <si>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Toutes les 3 h</t>
  </si>
  <si>
    <t xml:space="preserve">NOAA SWPC (JSON, noaa-scales)</t>
  </si>
  <si>
    <t xml:space="preserve">Étiquette lisible pour les agences et les alertes</t>
  </si>
  <si>
    <t xml:space="preserve">Collecté (NOAA toutes les 3 h)</t>
  </si>
  <si>
    <t xml:space="preserve">Alertes et avertissements</t>
  </si>
  <si>
    <t xml:space="preserve">Alertes, veilles et avertissements émis par NOAA (ex : Kp 5 attendu)</t>
  </si>
  <si>
    <t xml:space="preserve">Texte</t>
  </si>
  <si>
    <t xml:space="preserve">Événementielle</t>
  </si>
  <si>
    <t xml:space="preserve">Toutes les 3 h (le flux NOAA garde 30 jours)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</si>
  <si>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</si>
  <si>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</si>
  <si>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</si>
  <si>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</si>
  <si>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</si>
  <si>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</si>
  <si>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</si>
  <si>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</si>
  <si>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</si>
  <si>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</si>
  <si>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</si>
  <si>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</si>
  <si>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</si>
  <si>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</si>
  <si>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</si>
  <si>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</si>
  <si>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</si>
  <si>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</si>
  <si>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</si>
  <si>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</si>
  <si>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</si>
  <si>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</si>
  <si>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</si>
  <si>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</si>
  <si>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</si>
  <si>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</si>
  <si>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</si>
  <si>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</si>
  <si>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</si>
  <si>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</si>
  <si>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NOAA GHCNh (stations TROMSO, aéroport de Kiruna, gare de Rovaniemi) ; Open-Meteo écarté (robots.txt, INC-002)</t>
  </si>
  <si>
    <t xml:space="preserve">API (fichiers annuels)</t>
  </si>
  <si>
    <t xml:space="preserve">Un ciel couvert empêche de voir l'aurore</t>
  </si>
  <si>
    <t xml:space="preserve">NOAA GHCNh : CC0 (citer NOAA NCEI, DOI 10.25921/jp3d-3v19)</t>
  </si>
  <si>
    <t xml:space="preserve">Historique collecté (NOAA GHCNh 2010 → 24/10/2026) ; prévisions à faire</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</si>
  <si>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</si>
  <si>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</si>
  <si>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</si>
  <si>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</si>
  <si>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</si>
  <si>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</si>
  <si>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</si>
  <si>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</si>
  <si>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</si>
  <si>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</si>
  <si>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</si>
  <si>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</si>
  <si>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</si>
  <si>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</si>
  <si>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</si>
  <si>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</si>
  <si>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</si>
  <si>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</si>
  <si>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</si>
  <si>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</si>
  <si>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</si>
  <si>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</si>
  <si>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</si>
  <si>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</si>
  <si>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</si>
  <si>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</si>
  <si>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</si>
  <si>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</si>
  <si>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</si>
  <si>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</si>
  <si>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3 h), parsing à faire</t>
  </si>
  <si>
    <t xml:space="preserve">Température (moyenne, min, max)</t>
  </si>
  <si>
    <t xml:space="preserve">Température de l'air du jour, convertie de °F en °C</t>
  </si>
  <si>
    <t xml:space="preserve">°C</t>
  </si>
  <si>
    <t xml:space="preserve">Historique : une fois (base figée au 24/08/2025)</t>
  </si>
  <si>
    <t xml:space="preserve">NOAA NCEI GSOD, base publique BigQuery bigquery-public-data.noaa_gsod (stations TROMSO, KIRUNA, ROVANIEMI RAUTATIEASEMA)</t>
  </si>
  <si>
    <t xml:space="preserve">Requêtes SQL (BigQuery)</t>
  </si>
  <si>
    <t xml:space="preserve">Contexte saisonnier ; froid sec souvent associé à un ciel dégagé</t>
  </si>
  <si>
    <t xml:space="preserve">NOAA NCEI : données publiques, sans garantie (citer « Global Surface Summary of the Day - GSOD », NCEI) ; requêtes BigQuery gratuites jusqu'à 1 To par mois</t>
  </si>
  <si>
    <t xml:space="preserve">Historique collecté et nettoyé (2010 → 24/08/2025, table weather_daily) ; prévisions à faire</t>
  </si>
  <si>
    <t xml:space="preserve">Point de rosée et humidité relative</t>
  </si>
  <si>
    <t xml:space="preserve">Point de rosée mesuré ; humidité relative calculée (formule de Magnus, à partir des moyennes du jour)</t>
  </si>
  <si>
    <t xml:space="preserve">°C / %</t>
  </si>
  <si>
    <t xml:space="preserve">Historique : une fois</t>
  </si>
  <si>
    <t xml:space="preserve">Risque de brouillard et de givre</t>
  </si>
  <si>
    <t xml:space="preserve">Visibilité</t>
  </si>
  <si>
    <t xml:space="preserve">Visibilité horizontale moyenne du jour, convertie de miles en km</t>
  </si>
  <si>
    <t xml:space="preserve">km</t>
  </si>
  <si>
    <t xml:space="preserve">Brume et brouillard masquent le ciel comme les nuages</t>
  </si>
  <si>
    <t xml:space="preserve">Brouillard (jour signalé)</t>
  </si>
  <si>
    <t xml:space="preserve">Vrai si la station a signalé du brouillard au moins une fois dans la journée</t>
  </si>
  <si>
    <t xml:space="preserve">Booléen</t>
  </si>
  <si>
    <t xml:space="preserve">Ciel bouché en pleine saison des aurores (4 à 6 jours par mois en octobre-novembre à Kiruna et Rovaniemi)</t>
  </si>
  <si>
    <t xml:space="preserve">Vent (moyen et maximum)</t>
  </si>
  <si>
    <t xml:space="preserve">Vitesse moyenne et vitesse maximale soutenue du vent, converties de nœuds en m/s</t>
  </si>
  <si>
    <t xml:space="preserve">m/s</t>
  </si>
  <si>
    <t xml:space="preserve">Confort d'observation pour l'agence ; le vent dissipe aussi le brouillard</t>
  </si>
  <si>
    <t xml:space="preserve">Précipitations</t>
  </si>
  <si>
    <t xml:space="preserve">Cumul du jour, converti de pouces en mm ; lettre NOAA « I » (pas de relevé) passée à vide ; plus de 50 mm sans pluie signalée marqué suspect</t>
  </si>
  <si>
    <t xml:space="preserve">mm</t>
  </si>
  <si>
    <t xml:space="preserve">Exploitable seulement à Tromsø (92 % des jours) ; inutilisable à Kiruna et Rovaniemi (0 %)</t>
  </si>
  <si>
    <t xml:space="preserve">Synthèse des variables</t>
  </si>
  <si>
    <t xml:space="preserve">Nombre de variables</t>
  </si>
  <si>
    <t xml:space="preserve">Total</t>
  </si>
  <si>
    <t xml:space="preserve">Variables à collecter via</t>
  </si>
  <si>
    <t xml:space="preserve">Scraping</t>
  </si>
  <si>
    <t xml:space="preserve">SQL</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</si>
  <si>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</si>
  <si>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</si>
  <si>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</si>
  <si>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</si>
  <si>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</si>
  <si>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</si>
  <si>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</si>
  <si>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</si>
  <si>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heures à quelques jours (vent solaire environ 20 h, Kp observé 7 jours). Historique collecté une fois par backfill (GFZ depuis 1932, OMNIWeb, NOAA GHCNh et NOAA GSOD depuis 2010), puis collecte continue toutes les 3 h.</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</si>
  <si>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</si>
  <si>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</si>
  <si>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</si>
  <si>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</si>
  <si>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</si>
  <si>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</si>
  <si>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</si>
  <si>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</si>
  <si>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</si>
  <si>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</si>
  <si>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</si>
  <si>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</si>
  <si>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</si>
  <si>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</si>
  <si>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</si>
  <si>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</si>
  <si>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</si>
  <si>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</si>
  <si>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</si>
  <si>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</si>
  <si>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</si>
  <si>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</si>
  <si>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</si>
  <si>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</si>
  <si>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</si>
  <si>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</si>
  <si>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</si>
  <si>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</si>
  <si>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</si>
  <si>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</si>
  <si>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</si>
  <si>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</si>
  <si>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</si>
  <si>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</si>
  <si>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</si>
  <si>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</si>
  <si>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</si>
  <si>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</si>
  <si>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</si>
  <si>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</si>
  <si>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</si>
  <si>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</si>
  <si>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</si>
  <si>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</si>
  <si>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</si>
  <si>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</si>
  <si>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</si>
  <si>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</si>
  <si>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</si>
  <si>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</si>
  <si>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</si>
  <si>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</si>
  <si>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</si>
  <si>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 NOAA GSOD (BigQuery)</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</si>
  <si>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</si>
  <si>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</si>
  <si>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</si>
  <si>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</si>
  <si>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</si>
  <si>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</si>
  <si>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</si>
  <si>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</si>
  <si>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</si>
  <si>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</si>
  <si>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</si>
  <si>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</si>
  <si>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</si>
  <si>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</si>
  <si>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</si>
  <si>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</si>
  <si>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</si>
  <si>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</si>
  <si>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</si>
  <si>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</si>
  <si>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</si>
  <si>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</si>
  <si>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</si>
  <si>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</si>
  <si>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</si>
  <si>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</si>
  <si>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</si>
  <si>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</si>
  <si>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</si>
  <si>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</si>
  <si>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</si>
  <si>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</si>
  <si>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</si>
  <si>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</si>
  <si>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</si>
  <si>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</si>
  <si>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</si>
  <si>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</si>
  <si>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</si>
  <si>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</si>
  <si>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</si>
  <si>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</si>
  <si>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</si>
  <si>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</si>
  <si>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</si>
  <si>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</si>
  <si>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</si>
  <si>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</si>
  <si>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</si>
  <si>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</si>
  <si>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</si>
  <si>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</si>
  <si>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</si>
  <si>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</si>
  <si>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</si>
  <si>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</si>
  <si>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</si>
  <si>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</si>
  <si>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</si>
  <si>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</si>
  <si>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</si>
  <si>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</si>
  <si>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</si>
  <si>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</si>
  <si>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NOAA GSOD (météo quotidienne, SQL)</t>
  </si>
  <si>
    <t xml:space="preserve">Fiche de métadonnées NCEI (GSOD, gov.noaa.ncdc:C00516)</t>
  </si>
  <si>
    <t xml:space="preserve">https://www.ncei.noaa.gov/metadata/geoportal/rest/metadata/item/gov.noaa.ncdc:C00516/html</t>
  </si>
  <si>
    <t xml:space="preserve">Aucune licence restrictive indiquée ; NOAA et NCEI ne donnent aucune garantie d'exactitude ou d'exhaustivité, l'utilisateur juge de l'usage des données. Citation demandée : « NOAA National Centers of Environmental Information. 1999. Global Surface Summary of the Day - GSOD. 1.0. [sous-ensemble utilisé]. Accessed [date] ».</t>
  </si>
  <si>
    <t xml:space="preserve">Collecte et réutilisation autorisées (œuvre du gouvernement américain, comme NOAA SWPC). Citer NCEI avec les 3 stations et la date d'accès. Qualité vérifiée par nos soins (rapport de qualité, incident INC-004).</t>
  </si>
  <si>
    <t xml:space="preserve">Google BigQuery, programme Public Datasets</t>
  </si>
  <si>
    <t xml:space="preserve">https://docs.cloud.google.com/bigquery/public-data</t>
  </si>
  <si>
    <t xml:space="preserve">Google paie le stockage ; l'utilisateur ne paie que ses requêtes, le premier To par mois est gratuit, et le mode sans facturation (sandbox) suffit en dessous. Pas de garantie de service (SLA). Les conditions propres aux données sont celles de leur producteur (ici la NOAA).</t>
  </si>
  <si>
    <t xml:space="preserve">Mode sandbox, sans carte bancaire. Chaque requête est d'abord estimée à blanc puis plafonnée à 15 Go (la plus grosse lit 8,7 Go). Compte de service limité au rôle « Utilisateur de job BigQuery ».</t>
  </si>
  <si>
    <t xml:space="preserve">Toutes les sources</t>
  </si>
  <si>
    <t xml:space="preserve">GFZ, NOAA SWPC, OMNIWeb, NOAA GHCNh et NOAA GSOD (via BigQuery)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 d'affichage : une prévision présentée comme celle d'AuroraCast, pas de la NOAA. Coût BigQuery : nul tant que les requêtes restent sous 1 To par mois.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</si>
  <si>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</si>
  <si>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</si>
  <si>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</si>
  <si>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</si>
  <si>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</si>
  <si>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</si>
  <si>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</si>
  <si>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</si>
  <si>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</si>
  <si>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</si>
  <si>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</si>
  <si>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</si>
  <si>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</si>
  <si>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INC-004</t>
  </si>
  <si>
    <t xml:space="preserve">Google BigQuery : base existante bigquery-public-data.noaa_gsod (table stations)</t>
  </si>
  <si>
    <t xml:space="preserve">Backfill SQL GSOD en échec : pour les 3 lieux, « aucune station active à moins de 30 km », alors que les stations TROMSO (0,9 km), KIRUNA (6 km) et ROVANIEMI RAUTATIEASEMA (0,7 km) existent.</t>
  </si>
  <si>
    <t xml:space="preserve">Lecture des résultats de la requête des stations archivés (stations_&lt;lieu&gt;.json) : la colonne « end » vaut 20210920 pour toutes les stations.</t>
  </si>
  <si>
    <t xml:space="preserve">La table de métadonnées « stations » n'est plus mise à jour depuis le 20/09/2021, alors que les tables annuelles de relevés vont jusqu'au 24/08/2025. Le collecteur jugeait l'activité d'une station sur cette date de fin.</t>
  </si>
  <si>
    <t xml:space="preserve">Aucune donnée météo quotidienne collectée pendant ce lancement. Pas de perte durable : la base est historique.</t>
  </si>
  <si>
    <t xml:space="preserve">L'activité d'une station est désormais mesurée dans les relevés eux-mêmes : la requête des stations est jointe (LEFT JOIN) aux relevés de la dernière année et compte les jours mesurés ; une station est retenue avec au moins 30 jours. Test ajouté (commit fd4ff50). Vérifié le 27/10/2026 à 10:45 UTC : 3 stations retenues (236 jours en 2025 chacune), 16 832 jours collectés pour 2010-2025, 8,7 Go lus, coût nul.</t>
  </si>
  <si>
    <t xml:space="preserve">Résolu</t>
  </si>
  <si>
    <t xml:space="preserve">Ne pas faire confiance aux métadonnées d'une base existante : contrôler dans les données elles-mêmes (qualité des données, C1.1.2). Archiver le résultat de chaque requête pour pouvoir diagnostiquer.</t>
  </si>
  <si>
    <t xml:space="preserve">C1.1.2, C4.4.2</t>
  </si>
  <si>
    <t xml:space="preserve">INC-003</t>
  </si>
  <si>
    <t xml:space="preserve">GitHub Actions : planification de la collecte NOAA horaire</t>
  </si>
  <si>
    <t xml:space="preserve">Entre le 26/10 à 19:52 UTC et le 27/10 à 08:40 UTC, seulement 2 passages automatiques (23:40 et 04:32 UTC, environ 33 min de retard) au lieu d'environ 13. Les deux passages ont collecté 9 sources sur 9.</t>
  </si>
  <si>
    <t xml:space="preserve">Comparaison des commits horodatés de la branche raw-data avec la planification (cron « 7 * * * * »).</t>
  </si>
  <si>
    <t xml:space="preserve">L'ordonnanceur de GitHub Actions fonctionne au mieux : la documentation indique que les exécutions planifiées peuvent être retardées, voire supprimées, en période de forte charge, surtout aux heures pleines.</t>
  </si>
  <si>
    <t xml:space="preserve">Kp : aucune perte (le fichier NOAA couvre 7 jours). Vent solaire temps réel : environ 8 h de mesures perdues, à recompléter par OMNIWeb (publié avec environ un mois de retard). Prévisions et alertes émises entre deux passages : en partie perdues.</t>
  </si>
  <si>
    <t xml:space="preserve">Collecte incrémentale du vent solaire : chaque passage reprend après la dernière mesure archivée (lue dans les manifestes précédents), avec 10 min de recouvrement ; une perte n'est possible qu'au-delà de la profondeur du fichier NOAA (environ 20 h, mesurée sur les fichiers archivés) et elle est alors notée au manifeste (lost_from, lost_to). Vérifié du 27/10 au 29/10/2026 : GitHub n'a lancé la collecte que toutes les 4 à 6 h, sans aucune minute de vent solaire perdue. Cadence ensuite fixée à un passage toutes les 3 h (cron « 17 */3 * * * », commit 94f987f), choisie d'après la profondeur mesurée des flux : vent solaire environ 20 h, Kp observé 7 jours, alertes 30 jours ; seul kp_1m (environ 6 h) peut garder des trous, sans effet sur le modèle.</t>
  </si>
  <si>
    <t xml:space="preserve">Ne pas compter sur un ordonnanceur « au mieux » pour une collecte critique : argument pour Airflow (C1.1.3, C4.2.2). Concevoir les collectes pour être rattrapables (incrémentales et idempotentes), et choisir la fréquence d'après la profondeur mesurée de chaque flux plutôt qu'au plus souvent possible.</t>
  </si>
  <si>
    <t xml:space="preserve">C4.4.2, C1.1.3, C4.3.1</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</si>
  <si>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</si>
  <si>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</si>
  <si>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</si>
  <si>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</si>
  <si>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</si>
  <si>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</si>
  <si>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</si>
  <si>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Résolu (bascule vers NOAA GHCNh, historique collecté)</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</si>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</sst>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90</v>
      </c>
    </row>
    <row r="16" customFormat="false" ht="15" hidden="false" customHeight="true" outlineLevel="0" collapsed="false">
      <c r="A16" s="5" t="s">
        <v>101</v>
      </c>
      <c r="B16" s="6" t="s">
        <v>92</v>
      </c>
      <c r="C16" s="6" t="s">
        <v>102</v>
      </c>
      <c r="D16" s="7" t="s">
        <v>103</v>
      </c>
      <c r="E16" s="6" t="s">
        <v>95</v>
      </c>
      <c r="F16" s="6" t="s">
        <v>96</v>
      </c>
      <c r="G16" s="6" t="s">
        <v>97</v>
      </c>
      <c r="H16" s="6" t="s">
        <v>98</v>
      </c>
      <c r="I16" s="7" t="s">
        <v>87</v>
      </c>
      <c r="J16" s="7" t="s">
        <v>24</v>
      </c>
      <c r="K16" s="6" t="s">
        <v>104</v>
      </c>
      <c r="L16" s="6" t="s">
        <v>100</v>
      </c>
      <c r="M16" s="7" t="s">
        <v>90</v>
      </c>
    </row>
    <row r="17" customFormat="false" ht="23.25" hidden="false" customHeight="true" outlineLevel="0" collapsed="false">
      <c r="A17" s="5" t="s">
        <v>105</v>
      </c>
      <c r="B17" s="6" t="s">
        <v>106</v>
      </c>
      <c r="C17" s="6" t="s">
        <v>107</v>
      </c>
      <c r="D17" s="7" t="s">
        <v>108</v>
      </c>
      <c r="E17" s="6" t="s">
        <v>109</v>
      </c>
      <c r="F17" s="6" t="s">
        <v>110</v>
      </c>
      <c r="G17" s="6" t="s">
        <v>111</v>
      </c>
      <c r="H17" s="6" t="s">
        <v>112</v>
      </c>
      <c r="I17" s="7" t="s">
        <v>23</v>
      </c>
      <c r="J17" s="7" t="s">
        <v>24</v>
      </c>
      <c r="K17" s="6" t="s">
        <v>113</v>
      </c>
      <c r="L17" s="6" t="s">
        <v>114</v>
      </c>
      <c r="M17" s="7" t="s">
        <v>115</v>
      </c>
    </row>
    <row r="18" customFormat="false" ht="23.25" hidden="false" customHeight="true" outlineLevel="0" collapsed="false">
      <c r="A18" s="5" t="s">
        <v>116</v>
      </c>
      <c r="B18" s="6" t="s">
        <v>117</v>
      </c>
      <c r="C18" s="6" t="s">
        <v>118</v>
      </c>
      <c r="D18" s="7" t="s">
        <v>119</v>
      </c>
      <c r="E18" s="6" t="s">
        <v>120</v>
      </c>
      <c r="F18" s="6" t="s">
        <v>121</v>
      </c>
      <c r="G18" s="6" t="s">
        <v>122</v>
      </c>
      <c r="H18" s="6" t="s">
        <v>123</v>
      </c>
      <c r="I18" s="7" t="s">
        <v>33</v>
      </c>
      <c r="J18" s="7" t="s">
        <v>50</v>
      </c>
      <c r="K18" s="6" t="s">
        <v>124</v>
      </c>
      <c r="L18" s="6" t="s">
        <v>125</v>
      </c>
      <c r="M18" s="7" t="s">
        <v>90</v>
      </c>
    </row>
    <row r="19" customFormat="false" ht="23.25" hidden="false" customHeight="true" outlineLevel="0" collapsed="false">
      <c r="A19" s="5" t="s">
        <v>126</v>
      </c>
      <c r="B19" s="6" t="s">
        <v>117</v>
      </c>
      <c r="C19" s="6" t="s">
        <v>127</v>
      </c>
      <c r="D19" s="7" t="s">
        <v>128</v>
      </c>
      <c r="E19" s="6" t="s">
        <v>40</v>
      </c>
      <c r="F19" s="6" t="s">
        <v>72</v>
      </c>
      <c r="G19" s="6" t="s">
        <v>129</v>
      </c>
      <c r="H19" s="6" t="s">
        <v>123</v>
      </c>
      <c r="I19" s="7" t="s">
        <v>49</v>
      </c>
      <c r="J19" s="7" t="s">
        <v>50</v>
      </c>
      <c r="K19" s="6" t="s">
        <v>130</v>
      </c>
      <c r="L19" s="6" t="s">
        <v>35</v>
      </c>
      <c r="M19" s="7" t="s">
        <v>90</v>
      </c>
    </row>
    <row r="20" customFormat="false" ht="23.25" hidden="false" customHeight="true" outlineLevel="0" collapsed="false">
      <c r="A20" s="5" t="s">
        <v>131</v>
      </c>
      <c r="B20" s="6" t="s">
        <v>117</v>
      </c>
      <c r="C20" s="6" t="s">
        <v>132</v>
      </c>
      <c r="D20" s="7" t="s">
        <v>133</v>
      </c>
      <c r="E20" s="6" t="s">
        <v>40</v>
      </c>
      <c r="F20" s="6" t="s">
        <v>134</v>
      </c>
      <c r="G20" s="6" t="s">
        <v>135</v>
      </c>
      <c r="H20" s="6" t="s">
        <v>123</v>
      </c>
      <c r="I20" s="7" t="s">
        <v>49</v>
      </c>
      <c r="J20" s="7" t="s">
        <v>56</v>
      </c>
      <c r="K20" s="6" t="s">
        <v>136</v>
      </c>
      <c r="L20" s="6" t="s">
        <v>137</v>
      </c>
      <c r="M20" s="7" t="s">
        <v>90</v>
      </c>
    </row>
    <row r="21" customFormat="false" ht="23.25" hidden="false" customHeight="true" outlineLevel="0" collapsed="false">
      <c r="A21" s="5" t="s">
        <v>138</v>
      </c>
      <c r="B21" s="6" t="s">
        <v>117</v>
      </c>
      <c r="C21" s="6" t="s">
        <v>139</v>
      </c>
      <c r="D21" s="7" t="s">
        <v>78</v>
      </c>
      <c r="E21" s="6" t="s">
        <v>140</v>
      </c>
      <c r="F21" s="6" t="s">
        <v>141</v>
      </c>
      <c r="G21" s="6" t="s">
        <v>142</v>
      </c>
      <c r="H21" s="6" t="s">
        <v>143</v>
      </c>
      <c r="I21" s="7" t="s">
        <v>144</v>
      </c>
      <c r="J21" s="7" t="s">
        <v>50</v>
      </c>
      <c r="K21" s="6" t="s">
        <v>145</v>
      </c>
      <c r="L21" s="6" t="s">
        <v>35</v>
      </c>
      <c r="M21" s="7" t="s">
        <v>146</v>
      </c>
    </row>
    <row r="22" customFormat="false" ht="23.25" hidden="false" customHeight="true" outlineLevel="0" collapsed="false">
      <c r="A22" s="5" t="s">
        <v>147</v>
      </c>
      <c r="B22" s="6" t="s">
        <v>106</v>
      </c>
      <c r="C22" s="6" t="s">
        <v>148</v>
      </c>
      <c r="D22" s="7" t="s">
        <v>149</v>
      </c>
      <c r="E22" s="6" t="s">
        <v>120</v>
      </c>
      <c r="F22" s="6" t="s">
        <v>150</v>
      </c>
      <c r="G22" s="6" t="s">
        <v>151</v>
      </c>
      <c r="H22" s="6" t="s">
        <v>152</v>
      </c>
      <c r="I22" s="7" t="s">
        <v>23</v>
      </c>
      <c r="J22" s="7" t="s">
        <v>50</v>
      </c>
      <c r="K22" s="6" t="s">
        <v>153</v>
      </c>
      <c r="L22" s="6" t="s">
        <v>154</v>
      </c>
      <c r="M22" s="7" t="s">
        <v>155</v>
      </c>
    </row>
    <row r="23" customFormat="false" ht="23.25" hidden="false" customHeight="true" outlineLevel="0" collapsed="false">
      <c r="A23" s="5" t="s">
        <v>156</v>
      </c>
      <c r="B23" s="6" t="s">
        <v>106</v>
      </c>
      <c r="C23" s="6" t="s">
        <v>157</v>
      </c>
      <c r="D23" s="7" t="s">
        <v>158</v>
      </c>
      <c r="E23" s="6" t="s">
        <v>120</v>
      </c>
      <c r="F23" s="6" t="s">
        <v>159</v>
      </c>
      <c r="G23" s="6" t="s">
        <v>151</v>
      </c>
      <c r="H23" s="6" t="s">
        <v>152</v>
      </c>
      <c r="I23" s="7" t="s">
        <v>49</v>
      </c>
      <c r="J23" s="7" t="s">
        <v>50</v>
      </c>
      <c r="K23" s="6" t="s">
        <v>160</v>
      </c>
      <c r="L23" s="6" t="s">
        <v>154</v>
      </c>
      <c r="M23" s="7" t="s">
        <v>155</v>
      </c>
    </row>
    <row r="24" customFormat="false" ht="23.25" hidden="false" customHeight="true" outlineLevel="0" collapsed="false">
      <c r="A24" s="5" t="s">
        <v>161</v>
      </c>
      <c r="B24" s="6" t="s">
        <v>106</v>
      </c>
      <c r="C24" s="6" t="s">
        <v>162</v>
      </c>
      <c r="D24" s="7" t="s">
        <v>163</v>
      </c>
      <c r="E24" s="6" t="s">
        <v>120</v>
      </c>
      <c r="F24" s="6" t="s">
        <v>159</v>
      </c>
      <c r="G24" s="6" t="s">
        <v>151</v>
      </c>
      <c r="H24" s="6" t="s">
        <v>152</v>
      </c>
      <c r="I24" s="7" t="s">
        <v>49</v>
      </c>
      <c r="J24" s="7" t="s">
        <v>24</v>
      </c>
      <c r="K24" s="6" t="s">
        <v>164</v>
      </c>
      <c r="L24" s="6" t="s">
        <v>154</v>
      </c>
      <c r="M24" s="7" t="s">
        <v>155</v>
      </c>
    </row>
    <row r="25" customFormat="false" ht="23.25" hidden="false" customHeight="true" outlineLevel="0" collapsed="false">
      <c r="A25" s="5" t="s">
        <v>165</v>
      </c>
      <c r="B25" s="6" t="s">
        <v>106</v>
      </c>
      <c r="C25" s="6" t="s">
        <v>166</v>
      </c>
      <c r="D25" s="7" t="s">
        <v>167</v>
      </c>
      <c r="E25" s="6" t="s">
        <v>120</v>
      </c>
      <c r="F25" s="6" t="s">
        <v>159</v>
      </c>
      <c r="G25" s="6" t="s">
        <v>151</v>
      </c>
      <c r="H25" s="6" t="s">
        <v>152</v>
      </c>
      <c r="I25" s="7" t="s">
        <v>49</v>
      </c>
      <c r="J25" s="7" t="s">
        <v>24</v>
      </c>
      <c r="K25" s="6" t="s">
        <v>168</v>
      </c>
      <c r="L25" s="6" t="s">
        <v>154</v>
      </c>
      <c r="M25" s="7" t="s">
        <v>155</v>
      </c>
    </row>
    <row r="26" customFormat="false" ht="23.25" hidden="false" customHeight="true" outlineLevel="0" collapsed="false">
      <c r="A26" s="5" t="s">
        <v>169</v>
      </c>
      <c r="B26" s="6" t="s">
        <v>106</v>
      </c>
      <c r="C26" s="6" t="s">
        <v>170</v>
      </c>
      <c r="D26" s="7" t="s">
        <v>171</v>
      </c>
      <c r="E26" s="6" t="s">
        <v>120</v>
      </c>
      <c r="F26" s="6" t="s">
        <v>159</v>
      </c>
      <c r="G26" s="6" t="s">
        <v>151</v>
      </c>
      <c r="H26" s="6" t="s">
        <v>152</v>
      </c>
      <c r="I26" s="7" t="s">
        <v>49</v>
      </c>
      <c r="J26" s="7" t="s">
        <v>56</v>
      </c>
      <c r="K26" s="6" t="s">
        <v>172</v>
      </c>
      <c r="L26" s="6" t="s">
        <v>154</v>
      </c>
      <c r="M26" s="7" t="s">
        <v>155</v>
      </c>
    </row>
    <row r="27" customFormat="false" ht="23.25" hidden="false" customHeight="true" outlineLevel="0" collapsed="false">
      <c r="A27" s="5" t="s">
        <v>173</v>
      </c>
      <c r="B27" s="6" t="s">
        <v>106</v>
      </c>
      <c r="C27" s="6" t="s">
        <v>174</v>
      </c>
      <c r="D27" s="7" t="s">
        <v>175</v>
      </c>
      <c r="E27" s="6" t="s">
        <v>120</v>
      </c>
      <c r="F27" s="6" t="s">
        <v>159</v>
      </c>
      <c r="G27" s="6" t="s">
        <v>151</v>
      </c>
      <c r="H27" s="6" t="s">
        <v>152</v>
      </c>
      <c r="I27" s="7" t="s">
        <v>49</v>
      </c>
      <c r="J27" s="7" t="s">
        <v>56</v>
      </c>
      <c r="K27" s="6" t="s">
        <v>176</v>
      </c>
      <c r="L27" s="6" t="s">
        <v>154</v>
      </c>
      <c r="M27" s="7" t="s">
        <v>155</v>
      </c>
    </row>
  </sheetData>
  <conditionalFormatting sqref="J5:J27">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7">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7" type="list">
      <formula1>"À faire,En cours,Terminé"</formula1>
      <formula2>0</formula2>
    </dataValidation>
    <dataValidation allowBlank="false" errorStyle="stop" operator="between" showDropDown="false" showErrorMessage="false" showInputMessage="false" sqref="J5:J27"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177</v>
      </c>
    </row>
    <row r="3" customFormat="false" ht="15" hidden="false" customHeight="true" outlineLevel="0" collapsed="false">
      <c r="A3" s="8" t="s">
        <v>11</v>
      </c>
      <c r="B3" s="8" t="s">
        <v>178</v>
      </c>
    </row>
    <row r="4" customFormat="false" ht="15" hidden="false" customHeight="true" outlineLevel="0" collapsed="false">
      <c r="A4" s="9" t="s">
        <v>24</v>
      </c>
      <c r="B4" s="10" t="n">
        <f aca="false">COUNTIF('Dictionnaire de données'!$J$5:$J$27,A4)</f>
        <v>9</v>
      </c>
    </row>
    <row r="5" customFormat="false" ht="15" hidden="false" customHeight="true" outlineLevel="0" collapsed="false">
      <c r="A5" s="9" t="s">
        <v>50</v>
      </c>
      <c r="B5" s="10" t="n">
        <f aca="false">COUNTIF('Dictionnaire de données'!$J$5:$J$27,A5)</f>
        <v>9</v>
      </c>
    </row>
    <row r="6" customFormat="false" ht="15" hidden="false" customHeight="true" outlineLevel="0" collapsed="false">
      <c r="A6" s="9" t="s">
        <v>56</v>
      </c>
      <c r="B6" s="10" t="n">
        <f aca="false">COUNTIF('Dictionnaire de données'!$J$5:$J$27,A6)</f>
        <v>4</v>
      </c>
    </row>
    <row r="7" customFormat="false" ht="15" hidden="false" customHeight="true" outlineLevel="0" collapsed="false">
      <c r="A7" s="9" t="s">
        <v>88</v>
      </c>
      <c r="B7" s="10" t="n">
        <f aca="false">COUNTIF('Dictionnaire de données'!$J$5:$J$27,A7)</f>
        <v>1</v>
      </c>
    </row>
    <row r="8" customFormat="false" ht="15" hidden="false" customHeight="true" outlineLevel="0" collapsed="false">
      <c r="A8" s="11" t="s">
        <v>179</v>
      </c>
      <c r="B8" s="12" t="n">
        <f aca="false">SUM(B4:B7)</f>
        <v>23</v>
      </c>
    </row>
    <row r="10" customFormat="false" ht="15" hidden="false" customHeight="true" outlineLevel="0" collapsed="false">
      <c r="A10" s="13" t="s">
        <v>180</v>
      </c>
    </row>
    <row r="11" customFormat="false" ht="15" hidden="false" customHeight="true" outlineLevel="0" collapsed="false">
      <c r="A11" s="9" t="s">
        <v>22</v>
      </c>
      <c r="B11" s="10" t="n">
        <f aca="false">COUNTIF('Dictionnaire de données'!$H$5:$H$27,"*"&amp;A11&amp;"*")</f>
        <v>14</v>
      </c>
    </row>
    <row r="12" customFormat="false" ht="15" hidden="false" customHeight="true" outlineLevel="0" collapsed="false">
      <c r="A12" s="9" t="s">
        <v>181</v>
      </c>
      <c r="B12" s="10" t="n">
        <f aca="false">COUNTIF('Dictionnaire de données'!$H$5:$H$27,"*"&amp;A12&amp;"*")</f>
        <v>5</v>
      </c>
    </row>
    <row r="13" customFormat="false" ht="15" hidden="false" customHeight="true" outlineLevel="0" collapsed="false">
      <c r="A13" s="9" t="s">
        <v>98</v>
      </c>
      <c r="B13" s="10" t="n">
        <f aca="false">COUNTIF('Dictionnaire de données'!$H$5:$H$27,"*"&amp;A13&amp;"*")</f>
        <v>2</v>
      </c>
    </row>
    <row r="14" customFormat="false" ht="15" hidden="false" customHeight="true" outlineLevel="0" collapsed="false">
      <c r="A14" s="9" t="s">
        <v>182</v>
      </c>
      <c r="B14" s="10" t="n">
        <f aca="false">COUNTIF('Dictionnaire de données'!$H$5:$H$27,"*"&amp;A14&amp;"*")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183</v>
      </c>
    </row>
    <row r="3" customFormat="false" ht="15" hidden="false" customHeight="true" outlineLevel="0" collapsed="false">
      <c r="A3" s="14" t="s">
        <v>184</v>
      </c>
      <c r="B3" s="14" t="s">
        <v>185</v>
      </c>
    </row>
    <row r="4" customFormat="false" ht="23.25" hidden="false" customHeight="true" outlineLevel="0" collapsed="false">
      <c r="A4" s="15" t="s">
        <v>186</v>
      </c>
      <c r="B4" s="16" t="s">
        <v>187</v>
      </c>
    </row>
    <row r="5" customFormat="false" ht="15" hidden="false" customHeight="true" outlineLevel="0" collapsed="false">
      <c r="A5" s="15" t="s">
        <v>188</v>
      </c>
      <c r="B5" s="16" t="s">
        <v>189</v>
      </c>
    </row>
    <row r="6" customFormat="false" ht="23.25" hidden="false" customHeight="true" outlineLevel="0" collapsed="false">
      <c r="A6" s="15" t="s">
        <v>190</v>
      </c>
      <c r="B6" s="16" t="s">
        <v>191</v>
      </c>
    </row>
    <row r="7" customFormat="false" ht="15" hidden="false" customHeight="true" outlineLevel="0" collapsed="false">
      <c r="A7" s="15" t="s">
        <v>192</v>
      </c>
      <c r="B7" s="16" t="s">
        <v>193</v>
      </c>
    </row>
    <row r="8" customFormat="false" ht="15" hidden="false" customHeight="true" outlineLevel="0" collapsed="false">
      <c r="A8" s="15" t="s">
        <v>194</v>
      </c>
      <c r="B8" s="16" t="s">
        <v>195</v>
      </c>
    </row>
    <row r="9" customFormat="false" ht="23.25" hidden="false" customHeight="true" outlineLevel="0" collapsed="false">
      <c r="A9" s="15" t="s">
        <v>196</v>
      </c>
      <c r="B9" s="16" t="s">
        <v>197</v>
      </c>
    </row>
    <row r="10" customFormat="false" ht="15" hidden="false" customHeight="true" outlineLevel="0" collapsed="false">
      <c r="A10" s="15" t="s">
        <v>137</v>
      </c>
      <c r="B10" s="16" t="s">
        <v>198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199</v>
      </c>
    </row>
    <row r="2" customFormat="false" ht="15" hidden="false" customHeight="true" outlineLevel="0" collapsed="false">
      <c r="A2" s="3" t="s">
        <v>200</v>
      </c>
    </row>
    <row r="4" customFormat="false" ht="15" hidden="false" customHeight="true" outlineLevel="0" collapsed="false">
      <c r="A4" s="17" t="s">
        <v>201</v>
      </c>
      <c r="B4" s="17" t="s">
        <v>202</v>
      </c>
      <c r="C4" s="17" t="s">
        <v>203</v>
      </c>
      <c r="D4" s="17" t="s">
        <v>204</v>
      </c>
      <c r="E4" s="17" t="s">
        <v>205</v>
      </c>
    </row>
    <row r="5" customFormat="false" ht="94.5" hidden="false" customHeight="true" outlineLevel="0" collapsed="false">
      <c r="A5" s="15" t="s">
        <v>206</v>
      </c>
      <c r="B5" s="16" t="s">
        <v>207</v>
      </c>
      <c r="C5" s="16" t="s">
        <v>208</v>
      </c>
      <c r="D5" s="16" t="s">
        <v>209</v>
      </c>
      <c r="E5" s="16" t="s">
        <v>210</v>
      </c>
    </row>
    <row r="6" customFormat="false" ht="94.5" hidden="false" customHeight="true" outlineLevel="0" collapsed="false">
      <c r="A6" s="15" t="s">
        <v>206</v>
      </c>
      <c r="B6" s="16" t="s">
        <v>207</v>
      </c>
      <c r="C6" s="16" t="s">
        <v>211</v>
      </c>
      <c r="D6" s="16" t="s">
        <v>212</v>
      </c>
      <c r="E6" s="16" t="s">
        <v>213</v>
      </c>
    </row>
    <row r="7" customFormat="false" ht="94.5" hidden="false" customHeight="true" outlineLevel="0" collapsed="false">
      <c r="A7" s="15" t="s">
        <v>206</v>
      </c>
      <c r="B7" s="16" t="s">
        <v>207</v>
      </c>
      <c r="C7" s="16" t="s">
        <v>214</v>
      </c>
      <c r="D7" s="16" t="s">
        <v>215</v>
      </c>
      <c r="E7" s="16" t="s">
        <v>216</v>
      </c>
    </row>
    <row r="8" customFormat="false" ht="94.5" hidden="false" customHeight="true" outlineLevel="0" collapsed="false">
      <c r="A8" s="15" t="s">
        <v>217</v>
      </c>
      <c r="B8" s="16" t="s">
        <v>218</v>
      </c>
      <c r="C8" s="16" t="s">
        <v>219</v>
      </c>
      <c r="D8" s="16" t="s">
        <v>220</v>
      </c>
      <c r="E8" s="16" t="s">
        <v>221</v>
      </c>
    </row>
    <row r="9" customFormat="false" ht="94.5" hidden="false" customHeight="true" outlineLevel="0" collapsed="false">
      <c r="A9" s="15" t="s">
        <v>222</v>
      </c>
      <c r="B9" s="16" t="s">
        <v>87</v>
      </c>
      <c r="C9" s="16" t="s">
        <v>223</v>
      </c>
      <c r="D9" s="16" t="s">
        <v>224</v>
      </c>
      <c r="E9" s="16" t="s">
        <v>225</v>
      </c>
    </row>
    <row r="10" customFormat="false" ht="69.75" hidden="false" customHeight="true" outlineLevel="0" collapsed="false">
      <c r="A10" s="15" t="s">
        <v>226</v>
      </c>
      <c r="B10" s="16" t="s">
        <v>227</v>
      </c>
      <c r="C10" s="16" t="s">
        <v>228</v>
      </c>
      <c r="D10" s="16" t="s">
        <v>229</v>
      </c>
      <c r="E10" s="16" t="s">
        <v>230</v>
      </c>
    </row>
    <row r="11" customFormat="false" ht="69.75" hidden="false" customHeight="true" outlineLevel="0" collapsed="false">
      <c r="A11" s="15" t="s">
        <v>226</v>
      </c>
      <c r="B11" s="16" t="s">
        <v>227</v>
      </c>
      <c r="C11" s="16" t="s">
        <v>231</v>
      </c>
      <c r="D11" s="16" t="s">
        <v>232</v>
      </c>
      <c r="E11" s="16" t="s">
        <v>233</v>
      </c>
    </row>
    <row r="12" customFormat="false" ht="69.75" hidden="false" customHeight="true" outlineLevel="0" collapsed="false">
      <c r="A12" s="15" t="s">
        <v>226</v>
      </c>
      <c r="B12" s="16" t="s">
        <v>227</v>
      </c>
      <c r="C12" s="16" t="s">
        <v>234</v>
      </c>
      <c r="D12" s="16" t="s">
        <v>235</v>
      </c>
      <c r="E12" s="16" t="s">
        <v>236</v>
      </c>
    </row>
    <row r="13" customFormat="false" ht="69.75" hidden="false" customHeight="true" outlineLevel="0" collapsed="false">
      <c r="A13" s="15" t="s">
        <v>226</v>
      </c>
      <c r="B13" s="16" t="s">
        <v>227</v>
      </c>
      <c r="C13" s="16" t="s">
        <v>237</v>
      </c>
      <c r="D13" s="16" t="s">
        <v>238</v>
      </c>
      <c r="E13" s="16" t="s">
        <v>239</v>
      </c>
    </row>
    <row r="14" customFormat="false" ht="69.75" hidden="false" customHeight="true" outlineLevel="0" collapsed="false">
      <c r="A14" s="15" t="s">
        <v>226</v>
      </c>
      <c r="B14" s="16" t="s">
        <v>227</v>
      </c>
      <c r="C14" s="16" t="s">
        <v>240</v>
      </c>
      <c r="D14" s="16" t="s">
        <v>241</v>
      </c>
      <c r="E14" s="16" t="s">
        <v>242</v>
      </c>
    </row>
    <row r="16" customFormat="false" ht="15" hidden="false" customHeight="true" outlineLevel="0" collapsed="false">
      <c r="A16" s="18" t="s">
        <v>243</v>
      </c>
    </row>
    <row r="17" customFormat="false" ht="94.5" hidden="false" customHeight="true" outlineLevel="0" collapsed="false">
      <c r="A17" s="19" t="s">
        <v>244</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245</v>
      </c>
    </row>
    <row r="2" customFormat="false" ht="15" hidden="false" customHeight="true" outlineLevel="0" collapsed="false">
      <c r="A2" s="20" t="s">
        <v>246</v>
      </c>
    </row>
    <row r="4" customFormat="false" ht="15" hidden="false" customHeight="true" outlineLevel="0" collapsed="false">
      <c r="A4" s="17" t="s">
        <v>8</v>
      </c>
      <c r="B4" s="17" t="s">
        <v>201</v>
      </c>
      <c r="C4" s="17" t="s">
        <v>202</v>
      </c>
      <c r="D4" s="17" t="s">
        <v>204</v>
      </c>
      <c r="E4" s="17" t="s">
        <v>247</v>
      </c>
    </row>
    <row r="5" customFormat="false" ht="34.5" hidden="false" customHeight="true" outlineLevel="0" collapsed="false">
      <c r="A5" s="16" t="s">
        <v>248</v>
      </c>
      <c r="B5" s="16" t="s">
        <v>249</v>
      </c>
      <c r="C5" s="16" t="s">
        <v>250</v>
      </c>
      <c r="D5" s="16" t="s">
        <v>251</v>
      </c>
      <c r="E5" s="16" t="s">
        <v>252</v>
      </c>
    </row>
    <row r="6" customFormat="false" ht="34.5" hidden="false" customHeight="true" outlineLevel="0" collapsed="false">
      <c r="A6" s="16" t="s">
        <v>248</v>
      </c>
      <c r="B6" s="16" t="s">
        <v>253</v>
      </c>
      <c r="C6" s="16" t="s">
        <v>254</v>
      </c>
      <c r="D6" s="16" t="s">
        <v>255</v>
      </c>
      <c r="E6" s="16" t="s">
        <v>256</v>
      </c>
    </row>
    <row r="7" customFormat="false" ht="23.25" hidden="false" customHeight="true" outlineLevel="0" collapsed="false">
      <c r="A7" s="16" t="s">
        <v>248</v>
      </c>
      <c r="B7" s="16" t="s">
        <v>257</v>
      </c>
      <c r="C7" s="16" t="s">
        <v>258</v>
      </c>
      <c r="D7" s="16" t="s">
        <v>259</v>
      </c>
      <c r="E7" s="16" t="s">
        <v>260</v>
      </c>
    </row>
    <row r="8" customFormat="false" ht="45.75" hidden="false" customHeight="true" outlineLevel="0" collapsed="false">
      <c r="A8" s="16" t="s">
        <v>261</v>
      </c>
      <c r="B8" s="16" t="s">
        <v>262</v>
      </c>
      <c r="C8" s="16" t="s">
        <v>263</v>
      </c>
      <c r="D8" s="16" t="s">
        <v>264</v>
      </c>
      <c r="E8" s="16" t="s">
        <v>265</v>
      </c>
    </row>
    <row r="9" customFormat="false" ht="23.25" hidden="false" customHeight="true" outlineLevel="0" collapsed="false">
      <c r="A9" s="16" t="s">
        <v>261</v>
      </c>
      <c r="B9" s="16" t="s">
        <v>266</v>
      </c>
      <c r="C9" s="16" t="s">
        <v>267</v>
      </c>
      <c r="D9" s="16" t="s">
        <v>268</v>
      </c>
      <c r="E9" s="16" t="s">
        <v>269</v>
      </c>
    </row>
    <row r="10" customFormat="false" ht="23.25" hidden="false" customHeight="true" outlineLevel="0" collapsed="false">
      <c r="A10" s="16" t="s">
        <v>261</v>
      </c>
      <c r="B10" s="16" t="s">
        <v>270</v>
      </c>
      <c r="C10" s="16" t="s">
        <v>271</v>
      </c>
      <c r="D10" s="16" t="s">
        <v>272</v>
      </c>
      <c r="E10" s="16" t="s">
        <v>273</v>
      </c>
    </row>
    <row r="11" customFormat="false" ht="45.75" hidden="false" customHeight="true" outlineLevel="0" collapsed="false">
      <c r="A11" s="16" t="s">
        <v>274</v>
      </c>
      <c r="B11" s="16" t="s">
        <v>275</v>
      </c>
      <c r="C11" s="16" t="s">
        <v>276</v>
      </c>
      <c r="D11" s="16" t="s">
        <v>277</v>
      </c>
      <c r="E11" s="16" t="s">
        <v>278</v>
      </c>
    </row>
    <row r="12" customFormat="false" ht="23.25" hidden="false" customHeight="true" outlineLevel="0" collapsed="false">
      <c r="A12" s="16" t="s">
        <v>274</v>
      </c>
      <c r="B12" s="16" t="s">
        <v>279</v>
      </c>
      <c r="C12" s="16" t="s">
        <v>280</v>
      </c>
      <c r="D12" s="16" t="s">
        <v>281</v>
      </c>
      <c r="E12" s="16" t="s">
        <v>282</v>
      </c>
    </row>
    <row r="13" customFormat="false" ht="23.25" hidden="false" customHeight="true" outlineLevel="0" collapsed="false">
      <c r="A13" s="16" t="s">
        <v>274</v>
      </c>
      <c r="B13" s="16" t="s">
        <v>283</v>
      </c>
      <c r="C13" s="16" t="s">
        <v>284</v>
      </c>
      <c r="D13" s="16" t="s">
        <v>285</v>
      </c>
      <c r="E13" s="16" t="s">
        <v>286</v>
      </c>
    </row>
    <row r="14" customFormat="false" ht="34.5" hidden="false" customHeight="true" outlineLevel="0" collapsed="false">
      <c r="A14" s="16" t="s">
        <v>287</v>
      </c>
      <c r="B14" s="16" t="s">
        <v>288</v>
      </c>
      <c r="C14" s="16" t="s">
        <v>289</v>
      </c>
      <c r="D14" s="16" t="s">
        <v>290</v>
      </c>
      <c r="E14" s="16" t="s">
        <v>291</v>
      </c>
    </row>
    <row r="15" customFormat="false" ht="34.5" hidden="false" customHeight="true" outlineLevel="0" collapsed="false">
      <c r="A15" s="16" t="s">
        <v>287</v>
      </c>
      <c r="B15" s="16" t="s">
        <v>292</v>
      </c>
      <c r="C15" s="16" t="s">
        <v>293</v>
      </c>
      <c r="D15" s="16" t="s">
        <v>294</v>
      </c>
      <c r="E15" s="16" t="s">
        <v>295</v>
      </c>
    </row>
    <row r="16" customFormat="false" ht="45.75" hidden="false" customHeight="true" outlineLevel="0" collapsed="false">
      <c r="A16" s="18" t="s">
        <v>296</v>
      </c>
      <c r="B16" s="1" t="s">
        <v>297</v>
      </c>
      <c r="C16" s="1" t="s">
        <v>298</v>
      </c>
      <c r="D16" s="1" t="s">
        <v>299</v>
      </c>
      <c r="E16" s="1" t="s">
        <v>300</v>
      </c>
    </row>
    <row r="17" customFormat="false" ht="15" hidden="false" customHeight="true" outlineLevel="0" collapsed="false">
      <c r="A17" s="1" t="s">
        <v>296</v>
      </c>
      <c r="B17" s="1" t="s">
        <v>301</v>
      </c>
      <c r="C17" s="1" t="s">
        <v>302</v>
      </c>
      <c r="D17" s="1" t="s">
        <v>303</v>
      </c>
      <c r="E17" s="1" t="s">
        <v>304</v>
      </c>
    </row>
    <row r="18" customFormat="false" ht="15" hidden="false" customHeight="true" outlineLevel="0" collapsed="false">
      <c r="A18" s="16" t="s">
        <v>305</v>
      </c>
      <c r="B18" s="16" t="s">
        <v>306</v>
      </c>
      <c r="C18" s="16" t="s">
        <v>307</v>
      </c>
      <c r="D18" s="16" t="s">
        <v>308</v>
      </c>
      <c r="E18" s="16" t="s">
        <v>309</v>
      </c>
    </row>
    <row r="19" customFormat="false" ht="15" hidden="false" customHeight="true" outlineLevel="0" collapsed="false">
      <c r="A19" s="16" t="s">
        <v>310</v>
      </c>
      <c r="B19" s="16" t="s">
        <v>311</v>
      </c>
      <c r="C19" s="16" t="s">
        <v>312</v>
      </c>
      <c r="D19" s="16" t="s">
        <v>313</v>
      </c>
      <c r="E19" s="16" t="s">
        <v>314</v>
      </c>
    </row>
    <row r="20" customFormat="false" ht="15" hidden="false" customHeight="true" outlineLevel="0" collapsed="false">
      <c r="A20" s="16" t="s">
        <v>310</v>
      </c>
      <c r="B20" s="16" t="s">
        <v>315</v>
      </c>
      <c r="C20" s="16" t="s">
        <v>316</v>
      </c>
      <c r="D20" s="16" t="s">
        <v>317</v>
      </c>
      <c r="E20" s="16" t="s">
        <v>318</v>
      </c>
    </row>
    <row r="21" customFormat="false" ht="15" hidden="false" customHeight="true" outlineLevel="0" collapsed="false">
      <c r="A21" s="16" t="s">
        <v>319</v>
      </c>
    </row>
    <row r="22" customFormat="false" ht="75" hidden="false" customHeight="true" outlineLevel="0" collapsed="false"/>
    <row r="23" customFormat="false" ht="15" hidden="false" customHeight="true" outlineLevel="0" collapsed="false">
      <c r="A23" s="18" t="s">
        <v>243</v>
      </c>
    </row>
    <row r="24" customFormat="false" ht="90" hidden="false" customHeight="true" outlineLevel="0" collapsed="false">
      <c r="A24" s="19" t="s">
        <v>320</v>
      </c>
      <c r="B24" s="19"/>
      <c r="C24" s="19"/>
      <c r="D24" s="19"/>
      <c r="E24" s="19"/>
    </row>
  </sheetData>
  <mergeCells count="1">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321</v>
      </c>
    </row>
    <row r="2" customFormat="false" ht="15" hidden="false" customHeight="true" outlineLevel="0" collapsed="false">
      <c r="A2" s="20" t="s">
        <v>322</v>
      </c>
    </row>
    <row r="4" customFormat="false" ht="30" hidden="false" customHeight="true" outlineLevel="0" collapsed="false">
      <c r="A4" s="17" t="s">
        <v>323</v>
      </c>
      <c r="B4" s="17" t="s">
        <v>324</v>
      </c>
      <c r="C4" s="17" t="s">
        <v>325</v>
      </c>
      <c r="D4" s="17" t="s">
        <v>326</v>
      </c>
      <c r="E4" s="17" t="s">
        <v>327</v>
      </c>
      <c r="F4" s="17" t="s">
        <v>328</v>
      </c>
      <c r="G4" s="17" t="s">
        <v>329</v>
      </c>
      <c r="H4" s="17" t="s">
        <v>330</v>
      </c>
      <c r="I4" s="17" t="s">
        <v>331</v>
      </c>
      <c r="J4" s="17" t="s">
        <v>14</v>
      </c>
      <c r="K4" s="17" t="s">
        <v>332</v>
      </c>
      <c r="L4" s="17" t="s">
        <v>333</v>
      </c>
    </row>
    <row r="5" customFormat="false" ht="90" hidden="false" customHeight="true" outlineLevel="0" collapsed="false">
      <c r="A5" s="16" t="s">
        <v>334</v>
      </c>
      <c r="B5" s="21" t="n">
        <v>46322</v>
      </c>
      <c r="C5" s="16" t="s">
        <v>335</v>
      </c>
      <c r="D5" s="16" t="s">
        <v>336</v>
      </c>
      <c r="E5" s="16" t="s">
        <v>337</v>
      </c>
      <c r="F5" s="16" t="s">
        <v>338</v>
      </c>
      <c r="G5" s="16" t="s">
        <v>339</v>
      </c>
      <c r="H5" s="16" t="s">
        <v>340</v>
      </c>
      <c r="I5" s="21" t="n">
        <v>46322</v>
      </c>
      <c r="J5" s="16" t="s">
        <v>341</v>
      </c>
      <c r="K5" s="16" t="s">
        <v>342</v>
      </c>
      <c r="L5" s="16" t="s">
        <v>343</v>
      </c>
    </row>
    <row r="6" customFormat="false" ht="79.5" hidden="false" customHeight="true" outlineLevel="0" collapsed="false">
      <c r="A6" s="16" t="s">
        <v>344</v>
      </c>
      <c r="B6" s="21" t="n">
        <v>46322</v>
      </c>
      <c r="C6" s="16" t="s">
        <v>345</v>
      </c>
      <c r="D6" s="16" t="s">
        <v>346</v>
      </c>
      <c r="E6" s="16" t="s">
        <v>347</v>
      </c>
      <c r="F6" s="16" t="s">
        <v>348</v>
      </c>
      <c r="G6" s="16" t="s">
        <v>349</v>
      </c>
      <c r="H6" s="16" t="s">
        <v>350</v>
      </c>
      <c r="I6" s="21" t="n">
        <v>46324</v>
      </c>
      <c r="J6" s="16" t="s">
        <v>341</v>
      </c>
      <c r="K6" s="16" t="s">
        <v>351</v>
      </c>
      <c r="L6" s="16" t="s">
        <v>352</v>
      </c>
    </row>
    <row r="7" customFormat="false" ht="79.5" hidden="false" customHeight="true" outlineLevel="0" collapsed="false">
      <c r="A7" s="16" t="s">
        <v>353</v>
      </c>
      <c r="B7" s="21" t="n">
        <v>46321</v>
      </c>
      <c r="C7" s="16" t="s">
        <v>354</v>
      </c>
      <c r="D7" s="16" t="s">
        <v>355</v>
      </c>
      <c r="E7" s="16" t="s">
        <v>356</v>
      </c>
      <c r="F7" s="16" t="s">
        <v>357</v>
      </c>
      <c r="G7" s="16" t="s">
        <v>358</v>
      </c>
      <c r="H7" s="16" t="s">
        <v>359</v>
      </c>
      <c r="I7" s="21"/>
      <c r="J7" s="16" t="s">
        <v>360</v>
      </c>
      <c r="K7" s="16" t="s">
        <v>361</v>
      </c>
      <c r="L7" s="16" t="s">
        <v>362</v>
      </c>
    </row>
    <row r="8" customFormat="false" ht="79.5" hidden="false" customHeight="true" outlineLevel="0" collapsed="false">
      <c r="A8" s="16" t="s">
        <v>363</v>
      </c>
      <c r="B8" s="21" t="n">
        <v>46321</v>
      </c>
      <c r="C8" s="16" t="s">
        <v>364</v>
      </c>
      <c r="D8" s="16" t="s">
        <v>365</v>
      </c>
      <c r="E8" s="16" t="s">
        <v>366</v>
      </c>
      <c r="F8" s="16" t="s">
        <v>367</v>
      </c>
      <c r="G8" s="16" t="s">
        <v>368</v>
      </c>
      <c r="H8" s="16" t="s">
        <v>369</v>
      </c>
      <c r="I8" s="21" t="n">
        <v>46321</v>
      </c>
      <c r="J8" s="16" t="s">
        <v>341</v>
      </c>
      <c r="K8" s="16" t="s">
        <v>370</v>
      </c>
      <c r="L8" s="16"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2026-10-29T08:43:52Z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