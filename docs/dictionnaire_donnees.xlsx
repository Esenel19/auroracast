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Techniques de collecte" sheetId="4" state="visible" r:id="rId6"/>
    <sheet name="GSOD et GHCNh" sheetId="5" state="visible" r:id="rId7"/>
    <sheet name="Vérification CGU" sheetId="6" state="visible" r:id="rId8"/>
    <sheet name="Vérification CGU sources" sheetId="7" state="visible" r:id="rId9"/>
    <sheet name="Journal des incident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<sst xmlns="http://schemas.openxmlformats.org/spreadsheetml/2006/main" count="677" uniqueCount="467">
  <si>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</si>
  <si>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</si>
  <si>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</si>
  <si>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</si>
  <si>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</si>
  <si>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</si>
  <si>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</si>
  <si>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</si>
  <si>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</si>
  <si>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</si>
  <si>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</si>
  <si>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</si>
  <si>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</si>
  <si>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</si>
  <si>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</si>
  <si>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</si>
  <si>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</si>
  <si>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</si>
  <si>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</si>
  <si>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</si>
  <si>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</si>
  <si>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</si>
  <si>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</si>
  <si>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</si>
  <si>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</si>
  <si>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</si>
  <si>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</si>
  <si>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3 h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</si>
  <si>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</si>
  <si>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</si>
  <si>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</si>
  <si>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</si>
  <si>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</si>
  <si>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</si>
  <si>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</si>
  <si>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</si>
  <si>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3 h, avec date d'émission)</t>
  </si>
  <si>
    <t xml:space="preserve">Bz (IMF)</t>
  </si>
  <si>
    <t xml:space="preserve">Composante nord-sud du champ magnétique interplanétaire ; négatif = énergie qui entre dans la magnétosphère</t>
  </si>
  <si>
    <t xml:space="preserve">nT</t>
  </si>
  <si>
    <t xml:space="preserve">Minute</t>
  </si>
  <si>
    <t xml:space="preserve">Toutes les 3 h (le flux garde environ 20 h) ; agrégé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</si>
  <si>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</si>
  <si>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</si>
  <si>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</si>
  <si>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3 h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</si>
  <si>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</si>
  <si>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</si>
  <si>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</si>
  <si>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</si>
  <si>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</si>
  <si>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</si>
  <si>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</si>
  <si>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</si>
  <si>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</si>
  <si>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</si>
  <si>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</si>
  <si>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</si>
  <si>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</si>
  <si>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</si>
  <si>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</si>
  <si>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</si>
  <si>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</si>
  <si>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</si>
  <si>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</si>
  <si>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</si>
  <si>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</si>
  <si>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</si>
  <si>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</si>
  <si>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</si>
  <si>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</si>
  <si>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</si>
  <si>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Toutes les 3 h</t>
  </si>
  <si>
    <t xml:space="preserve">NOAA SWPC (JSON, noaa-scales)</t>
  </si>
  <si>
    <t xml:space="preserve">Étiquette lisible pour les agences et les alertes</t>
  </si>
  <si>
    <t xml:space="preserve">Collecté (NOAA toutes les 3 h)</t>
  </si>
  <si>
    <t xml:space="preserve">Alertes et avertissements</t>
  </si>
  <si>
    <t xml:space="preserve">Alertes, veilles et avertissements émis par NOAA (ex : Kp 5 attendu)</t>
  </si>
  <si>
    <t xml:space="preserve">Texte</t>
  </si>
  <si>
    <t xml:space="preserve">Événementielle</t>
  </si>
  <si>
    <t xml:space="preserve">Toutes les 3 h (le flux NOAA garde 30 jours)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</si>
  <si>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</si>
  <si>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</si>
  <si>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</si>
  <si>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</si>
  <si>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</si>
  <si>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</si>
  <si>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</si>
  <si>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</si>
  <si>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</si>
  <si>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</si>
  <si>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</si>
  <si>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</si>
  <si>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</si>
  <si>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</si>
  <si>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</si>
  <si>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</si>
  <si>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</si>
  <si>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</si>
  <si>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</si>
  <si>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</si>
  <si>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</si>
  <si>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</si>
  <si>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</si>
  <si>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</si>
  <si>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</si>
  <si>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</si>
  <si>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</si>
  <si>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</si>
  <si>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</si>
  <si>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Observé : chaque jour (GHCNh) ; prévu : toutes les 3 h (MET Norway)</t>
  </si>
  <si>
    <t xml:space="preserve">Observé : NOAA GHCNh (stations TROMSO, aéroport de Kiruna, gare de Rovaniemi) ; prévu : MET Norway Locationforecast 2.0 (nébulosité totale et par étage) ; Open-Meteo écarté (robots.txt, INC-002)</t>
  </si>
  <si>
    <t xml:space="preserve">API (fichiers GHCNh + API MET Norway)</t>
  </si>
  <si>
    <t xml:space="preserve">Un ciel couvert empêche de voir l'aurore</t>
  </si>
  <si>
    <t xml:space="preserve">NOAA GHCNh : CC0 (DOI 10.25921/jp3d-3v19) ; MET Norway : CC BY 4.0 (citer MET Norway)</t>
  </si>
  <si>
    <t xml:space="preserve">Observé collecté et nettoyé (cloud_hourly, 2010 → J-3) ; prévu collecté toutes les 3 h (weather_forecast)</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</si>
  <si>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</si>
  <si>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</si>
  <si>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</si>
  <si>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</si>
  <si>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</si>
  <si>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</si>
  <si>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</si>
  <si>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</si>
  <si>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</si>
  <si>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</si>
  <si>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</si>
  <si>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</si>
  <si>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</si>
  <si>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</si>
  <si>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</si>
  <si>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</si>
  <si>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</si>
  <si>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</si>
  <si>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</si>
  <si>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</si>
  <si>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</si>
  <si>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</si>
  <si>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</si>
  <si>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</si>
  <si>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</si>
  <si>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</si>
  <si>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</si>
  <si>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</si>
  <si>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</si>
  <si>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</si>
  <si>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3 h), parsing à faire</t>
  </si>
  <si>
    <t xml:space="preserve">Température (moyenne, min, max)</t>
  </si>
  <si>
    <t xml:space="preserve">Température de l'air du jour, convertie de °F en °C</t>
  </si>
  <si>
    <t xml:space="preserve">°C</t>
  </si>
  <si>
    <t xml:space="preserve">Horaire (GHCNh) ; journalière (GSOD)</t>
  </si>
  <si>
    <t xml:space="preserve">GSOD : une fois (base figée) ; GHCNh : chaque jour, lignes nouvelles seulement</t>
  </si>
  <si>
    <t xml:space="preserve">NOAA NCEI GSOD par SQL (BigQuery bigquery-public-data.noaa_gsod, 2010 → 24/08/2025) ; NOAA GHCNh horaire, mêmes stations (TROMSO, aéroport de Kiruna, gare de Rovaniemi), 2010 → hier</t>
  </si>
  <si>
    <t xml:space="preserve">Requêtes SQL (BigQuery) + API (fichiers GHCNh)</t>
  </si>
  <si>
    <t xml:space="preserve">Contexte saisonnier ; froid sec souvent associé à un ciel dégagé</t>
  </si>
  <si>
    <t xml:space="preserve">NOAA NCEI GSOD : données publiques, sans garantie (citer NCEI) ; NOAA GHCNh : CC0 (DOI 10.25921/jp3d-3v19) ; requêtes BigQuery gratuites jusqu'à 1 To par mois</t>
  </si>
  <si>
    <t xml:space="preserve">Collecté et nettoyé : GSOD (weather_daily) et GHCNh (weather_hourly, mis à jour chaque jour) ; contrôle croisé de la température : écart moyen 0,03 à 0,09 °C ; prévisions collectées (MET Norway, weather_forecast)</t>
  </si>
  <si>
    <t xml:space="preserve">Point de rosée et humidité relative</t>
  </si>
  <si>
    <t xml:space="preserve">Point de rosée mesuré ; humidité relative calculée (formule de Magnus, à partir des moyennes du jour)</t>
  </si>
  <si>
    <t xml:space="preserve">°C / %</t>
  </si>
  <si>
    <t xml:space="preserve">Risque de brouillard et de givre</t>
  </si>
  <si>
    <t xml:space="preserve">Visibilité</t>
  </si>
  <si>
    <t xml:space="preserve">Visibilité horizontale, en km ; GSOD : moyenne du jour convertie des miles ; GHCNh : par heure. Messages METAR (aéroport de Kiruna) plafonnés à 10 km (« 10 km ou plus », colonne visibility_capped)</t>
  </si>
  <si>
    <t xml:space="preserve">km</t>
  </si>
  <si>
    <t xml:space="preserve">Brume et brouillard masquent le ciel comme les nuages</t>
  </si>
  <si>
    <t xml:space="preserve">Brouillard (jour signalé)</t>
  </si>
  <si>
    <t xml:space="preserve">Brouillard signalé : GSOD = au moins une fois dans la journée ; GHCNh = par heure, d'après le temps présent WMO (abréviation FG, code manuel 40-49, automatique 30-35) ; brume (BR, code 10) en colonne séparée</t>
  </si>
  <si>
    <t xml:space="preserve">Booléen</t>
  </si>
  <si>
    <t xml:space="preserve">Ciel bouché en pleine saison des aurores (4 à 6 jours par mois en octobre-novembre à Kiruna et Rovaniemi)</t>
  </si>
  <si>
    <t xml:space="preserve">Vent (moyen et maximum)</t>
  </si>
  <si>
    <t xml:space="preserve">Vitesse (et direction pour GHCNh) du vent, en m/s ; direction 999 = vent calme ou variable</t>
  </si>
  <si>
    <t xml:space="preserve">m/s</t>
  </si>
  <si>
    <t xml:space="preserve">Confort d'observation pour l'agence ; le vent dissipe aussi le brouillard</t>
  </si>
  <si>
    <t xml:space="preserve">Précipitations</t>
  </si>
  <si>
    <t xml:space="preserve">Cumul du jour, converti de pouces en mm ; lettre NOAA « I » (pas de relevé) passée à vide ; plus de 50 mm sans pluie signalée marqué suspect</t>
  </si>
  <si>
    <t xml:space="preserve">mm</t>
  </si>
  <si>
    <t xml:space="preserve">Historique : une fois</t>
  </si>
  <si>
    <t xml:space="preserve">NOAA NCEI GSOD, base publique BigQuery bigquery-public-data.noaa_gsod (stations TROMSO, KIRUNA, ROVANIEMI RAUTATIEASEMA)</t>
  </si>
  <si>
    <t xml:space="preserve">Requêtes SQL (BigQuery)</t>
  </si>
  <si>
    <t xml:space="preserve">Exploitable seulement à Tromsø (92 % des jours) ; inutilisable à Kiruna et Rovaniemi (0 %)</t>
  </si>
  <si>
    <t xml:space="preserve">NOAA NCEI : données publiques, sans garantie (citer « Global Surface Summary of the Day - GSOD », NCEI) ; requêtes BigQuery gratuites jusqu'à 1 To par mois</t>
  </si>
  <si>
    <t xml:space="preserve">Historique collecté et nettoyé (2010 → 24/08/2025, table weather_daily) ; prévisions collectées (MET Norway, weather_forecast)</t>
  </si>
  <si>
    <t xml:space="preserve">Pression au niveau de la mer</t>
  </si>
  <si>
    <t xml:space="preserve">Pression atmosphérique ramenée au niveau de la mer</t>
  </si>
  <si>
    <t xml:space="preserve">hPa</t>
  </si>
  <si>
    <t xml:space="preserve">Chaque jour, lignes nouvelles seulement</t>
  </si>
  <si>
    <t xml:space="preserve">NOAA GHCNh horaire (TROMSO, aéroport de Kiruna, gare de Rovaniemi), 2010 → hier</t>
  </si>
  <si>
    <t xml:space="preserve">API (fichiers GHCNh)</t>
  </si>
  <si>
    <t xml:space="preserve">Une pression qui monte annonce souvent un ciel qui se dégage ; à tester en sélection de variables</t>
  </si>
  <si>
    <t xml:space="preserve">NOAA GHCNh : CC0 (DOI 10.25921/jp3d-3v19)</t>
  </si>
  <si>
    <t xml:space="preserve">Collecté et nettoyé (weather_hourly, 2010 → hier) ; prévisions collectées (MET Norway, weather_forecast)</t>
  </si>
  <si>
    <t xml:space="preserve">Prévision de brouillard</t>
  </si>
  <si>
    <t xml:space="preserve">Part de la zone autour du lieu couverte de brouillard (visibilité sous 1 km) ; seul indicateur de visibilité prévu par l'API</t>
  </si>
  <si>
    <t xml:space="preserve">Horaire, environ 60 h</t>
  </si>
  <si>
    <t xml:space="preserve">Toutes les 3 h (dans le respect de l'en-tête Expires)</t>
  </si>
  <si>
    <t xml:space="preserve">MET Norway Locationforecast 2.0 (complete), fog_area_fraction</t>
  </si>
  <si>
    <t xml:space="preserve">Court terme (0 à 60 h)</t>
  </si>
  <si>
    <t xml:space="preserve">Le brouillard masque le ciel comme les nuages ; complète la nébulosité prévue</t>
  </si>
  <si>
    <t xml:space="preserve">MET Norway : CC BY 4.0 (citer MET Norway, lien vers la licence)</t>
  </si>
  <si>
    <t xml:space="preserve">Collecté toutes les 3 h (weather_forecast)</t>
  </si>
  <si>
    <t xml:space="preserve">Prévision de nébulosité par étage</t>
  </si>
  <si>
    <t xml:space="preserve">Nuages bas (&lt; 2 000 m), moyens (2 000 à 5 000 m) et hauts (&gt; 5 000 m), en plus de la nébulosité totale</t>
  </si>
  <si>
    <t xml:space="preserve">MET Norway Locationforecast 2.0 (complete), cloud_area_fraction_low/medium/high</t>
  </si>
  <si>
    <t xml:space="preserve">Un voile de nuages hauts laisse parfois voir une aurore intense, pas des nuages bas</t>
  </si>
  <si>
    <t xml:space="preserve">Synthèse des variables</t>
  </si>
  <si>
    <t xml:space="preserve">Nombre de variables</t>
  </si>
  <si>
    <t xml:space="preserve">Total</t>
  </si>
  <si>
    <t xml:space="preserve">Variables à collecter via</t>
  </si>
  <si>
    <t xml:space="preserve">Scraping</t>
  </si>
  <si>
    <t xml:space="preserve">SQL</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</si>
  <si>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</si>
  <si>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</si>
  <si>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</si>
  <si>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</si>
  <si>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</si>
  <si>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</si>
  <si>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</si>
  <si>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</si>
  <si>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heures à quelques jours (vent solaire environ 20 h, Kp observé 7 jours). Historique collecté une fois par backfill (GFZ depuis 1932, OMNIWeb, NOAA GHCNh et NOAA GSOD depuis 2010), puis collecte continue toutes les 3 h.</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</si>
  <si>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</si>
  <si>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</si>
  <si>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</si>
  <si>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</si>
  <si>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</si>
  <si>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</si>
  <si>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</si>
  <si>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AuroraCast – Techniques de collecte (C1.1.2)</t>
  </si>
  <si>
    <t xml:space="preserve">Mis à jour le 29/10/2026. GHCNh : accès HTTP aux fichiers du service NOAA Open Data (classé « API » dans les manifestes).</t>
  </si>
  <si>
    <t xml:space="preserve">Technique</t>
  </si>
  <si>
    <t xml:space="preserve">Données collectées</t>
  </si>
  <si>
    <t xml:space="preserve">Accès</t>
  </si>
  <si>
    <t xml:space="preserve">Code</t>
  </si>
  <si>
    <t xml:space="preserve">Fréquence</t>
  </si>
  <si>
    <t xml:space="preserve">NOAA SWPC</t>
  </si>
  <si>
    <t xml:space="preserve">Kp observé et prévu, Kp minute, vent solaire temps réel (Bz, vitesse, densité), échelles NOAA, alertes</t>
  </si>
  <si>
    <t xml:space="preserve">services.swpc.noaa.gov (JSON)</t>
  </si>
  <si>
    <t xml:space="preserve">src/auroracast/collect/noaa.py</t>
  </si>
  <si>
    <t xml:space="preserve">NOAA GHCNh</t>
  </si>
  <si>
    <t xml:space="preserve">Observations horaires des 3 stations : nuages, température, humidité, pression, vent, visibilité, temps présent</t>
  </si>
  <si>
    <t xml:space="preserve">noaa-ghcnh-pds.s3.amazonaws.com (fichiers annuels par station)</t>
  </si>
  <si>
    <t xml:space="preserve">src/auroracast/collect/ghcnh.py</t>
  </si>
  <si>
    <t xml:space="preserve">Chaque jour (lignes nouvelles)</t>
  </si>
  <si>
    <t xml:space="preserve">MET Norway</t>
  </si>
  <si>
    <t xml:space="preserve">Prévisions locales : nébulosité totale et par étage, brouillard, température, humidité, vent, pluie (horaire sur environ 50 h, puis 6 h jusqu'à 10 jours)</t>
  </si>
  <si>
    <t xml:space="preserve">api.met.no/weatherapi/locationforecast/2.0/complete (JSON)</t>
  </si>
  <si>
    <t xml:space="preserve">src/auroracast/collect/metno.py</t>
  </si>
  <si>
    <t xml:space="preserve">Toutes les 3 h (Expires respecté)</t>
  </si>
  <si>
    <t xml:space="preserve">Prévision à 3 jours rédigée, indices géomagnétiques du jour</t>
  </si>
  <si>
    <t xml:space="preserve">services.swpc.noaa.gov/text/ (fichiers texte)</t>
  </si>
  <si>
    <t xml:space="preserve">Crawling</t>
  </si>
  <si>
    <t xml:space="preserve">OMNIWeb (NASA SPDF)</t>
  </si>
  <si>
    <t xml:space="preserve">Vent solaire et champ magnétique interplanétaire horaires depuis 2010</t>
  </si>
  <si>
    <t xml:space="preserve">spdf.gsfc.nasa.gov/pub/data/omni/low_res_omni/ (parcours de l'index)</t>
  </si>
  <si>
    <t xml:space="preserve">src/auroracast/collect/omni.py</t>
  </si>
  <si>
    <t xml:space="preserve">Backfill à la demande</t>
  </si>
  <si>
    <t xml:space="preserve">NOAA GSOD</t>
  </si>
  <si>
    <t xml:space="preserve">Météo quotidienne 2010 → 24/08/2025 : température, rosée, visibilité, brouillard, vent, précipitations</t>
  </si>
  <si>
    <t xml:space="preserve">BigQuery bigquery-public-data.noaa_gsod</t>
  </si>
  <si>
    <t xml:space="preserve">src/auroracast/collect/gsod.py</t>
  </si>
  <si>
    <t xml:space="preserve">Backfill à la demande (base figée)</t>
  </si>
  <si>
    <t xml:space="preserve">Fichier</t>
  </si>
  <si>
    <t xml:space="preserve">GFZ Potsdam</t>
  </si>
  <si>
    <t xml:space="preserve">Kp, ap, Ap, taches solaires et flux F10.7 depuis 1932</t>
  </si>
  <si>
    <t xml:space="preserve">kp.gfz.de (Kp_ap_Ap_SN_F107_since_1932.txt)</t>
  </si>
  <si>
    <t xml:space="preserve">src/auroracast/collect/gfz.py</t>
  </si>
  <si>
    <t xml:space="preserve">Synthèse</t>
  </si>
  <si>
    <t xml:space="preserve">Nombre de sources</t>
  </si>
  <si>
    <t xml:space="preserve">Météo au sol : deux sources pour les mêmes stations</t>
  </si>
  <si>
    <t xml:space="preserve">Contrôle croisé de la température moyenne du jour : écart moyen de 0,03 à 0,09 °C selon le lieu (rapport de qualité du 29/10/2026).</t>
  </si>
  <si>
    <t xml:space="preserve">GSOD</t>
  </si>
  <si>
    <t xml:space="preserve">GHCNh</t>
  </si>
  <si>
    <t xml:space="preserve">Accès HTTP aux fichiers (classé API)</t>
  </si>
  <si>
    <t xml:space="preserve">Une mesure par jour</t>
  </si>
  <si>
    <t xml:space="preserve">Une mesure par heure</t>
  </si>
  <si>
    <t xml:space="preserve">Période</t>
  </si>
  <si>
    <t xml:space="preserve">2010 → 24/08/2025, base figée</t>
  </si>
  <si>
    <t xml:space="preserve">2010 → environ 3 jours avant la date du jour, mise à jour quotidienne</t>
  </si>
  <si>
    <t xml:space="preserve">Table propre</t>
  </si>
  <si>
    <t xml:space="preserve">weather_daily</t>
  </si>
  <si>
    <t xml:space="preserve">weather_hourly (et cloud_hourly pour les nuages)</t>
  </si>
  <si>
    <t xml:space="preserve">Rôle dans le projet</t>
  </si>
  <si>
    <t xml:space="preserve">Collecte SQL sur une base existante (C1.1.2) et contrôle croisé</t>
  </si>
  <si>
    <t xml:space="preserve">Météo récente et horaire pour le modèle</t>
  </si>
  <si>
    <t xml:space="preserve">Stations</t>
  </si>
  <si>
    <t xml:space="preserve">TROMSO (010260), KIRUNA (020440), ROVANIEMI RAUTATIEASEMA (028470)</t>
  </si>
  <si>
    <t xml:space="preserve">TROMSO (NOM00001026), aéroport de Kiruna (SWI0000ESNQ), gare de Rovaniemi (FIM00002847)</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</si>
  <si>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</si>
  <si>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</si>
  <si>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</si>
  <si>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</si>
  <si>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</si>
  <si>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</si>
  <si>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</si>
  <si>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</si>
  <si>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</si>
  <si>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</si>
  <si>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</si>
  <si>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</si>
  <si>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</si>
  <si>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</si>
  <si>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</si>
  <si>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</si>
  <si>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</si>
  <si>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</si>
  <si>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</si>
  <si>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</si>
  <si>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</si>
  <si>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</si>
  <si>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</si>
  <si>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</si>
  <si>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</si>
  <si>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</si>
  <si>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</si>
  <si>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</si>
  <si>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</si>
  <si>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</si>
  <si>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</si>
  <si>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</si>
  <si>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</si>
  <si>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</si>
  <si>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</si>
  <si>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</si>
  <si>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</si>
  <si>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</si>
  <si>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</si>
  <si>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</si>
  <si>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</si>
  <si>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</si>
  <si>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</si>
  <si>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</si>
  <si>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</si>
  <si>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</si>
  <si>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 NOAA GSOD (BigQuery), MET Norway</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</si>
  <si>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</si>
  <si>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</si>
  <si>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</si>
  <si>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</si>
  <si>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</si>
  <si>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</si>
  <si>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</si>
  <si>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</si>
  <si>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</si>
  <si>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</si>
  <si>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</si>
  <si>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</si>
  <si>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</si>
  <si>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</si>
  <si>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</si>
  <si>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</si>
  <si>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</si>
  <si>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</si>
  <si>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</si>
  <si>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</si>
  <si>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</si>
  <si>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</si>
  <si>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</si>
  <si>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</si>
  <si>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</si>
  <si>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</si>
  <si>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</si>
  <si>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</si>
  <si>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</si>
  <si>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</si>
  <si>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</si>
  <si>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</si>
  <si>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</si>
  <si>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</si>
  <si>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</si>
  <si>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</si>
  <si>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</si>
  <si>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</si>
  <si>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</si>
  <si>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</si>
  <si>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</si>
  <si>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</si>
  <si>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</si>
  <si>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</si>
  <si>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</si>
  <si>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</si>
  <si>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</si>
  <si>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</si>
  <si>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</si>
  <si>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</si>
  <si>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</si>
  <si>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</si>
  <si>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</si>
  <si>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</si>
  <si>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</si>
  <si>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</si>
  <si>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</si>
  <si>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</si>
  <si>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</si>
  <si>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</si>
  <si>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</si>
  <si>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</si>
  <si>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</si>
  <si>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</si>
  <si>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NOAA GSOD (météo quotidienne, SQL)</t>
  </si>
  <si>
    <t xml:space="preserve">Fiche de métadonnées NCEI (GSOD, gov.noaa.ncdc:C00516)</t>
  </si>
  <si>
    <t xml:space="preserve">https://www.ncei.noaa.gov/metadata/geoportal/rest/metadata/item/gov.noaa.ncdc:C00516/html</t>
  </si>
  <si>
    <t xml:space="preserve">Aucune licence restrictive indiquée ; NOAA et NCEI ne donnent aucune garantie d'exactitude ou d'exhaustivité, l'utilisateur juge de l'usage des données. Citation demandée : « NOAA National Centers of Environmental Information. 1999. Global Surface Summary of the Day - GSOD. 1.0. [sous-ensemble utilisé]. Accessed [date] ».</t>
  </si>
  <si>
    <t xml:space="preserve">Collecte et réutilisation autorisées (œuvre du gouvernement américain, comme NOAA SWPC). Citer NCEI avec les 3 stations et la date d'accès. Qualité vérifiée par nos soins (rapport de qualité, incident INC-004).</t>
  </si>
  <si>
    <t xml:space="preserve">Google BigQuery, programme Public Datasets</t>
  </si>
  <si>
    <t xml:space="preserve">https://docs.cloud.google.com/bigquery/public-data</t>
  </si>
  <si>
    <t xml:space="preserve">Google paie le stockage ; l'utilisateur ne paie que ses requêtes, le premier To par mois est gratuit, et le mode sans facturation (sandbox) suffit en dessous. Pas de garantie de service (SLA). Les conditions propres aux données sont celles de leur producteur (ici la NOAA).</t>
  </si>
  <si>
    <t xml:space="preserve">Mode sandbox, sans carte bancaire. Chaque requête est d'abord estimée à blanc puis plafonnée à 15 Go (la plus grosse lit 8,7 Go). Compte de service limité au rôle « Utilisateur de job BigQuery ».</t>
  </si>
  <si>
    <t xml:space="preserve">MET Norway (prévisions météo)</t>
  </si>
  <si>
    <t xml:space="preserve">Conditions d'utilisation de l'API</t>
  </si>
  <si>
    <t xml:space="preserve">https://api.met.no/doc/TermsOfService</t>
  </si>
  <si>
    <t xml:space="preserve">User-Agent identifiable avec contact obligatoire ; plus de 20 requêtes par seconde : accord spécial, sinon HTTP 429 ; ne pas redemander avant l'en-tête Expires, utiliser If-Modified-Since ; coordonnées à 4 décimales au plus (5 : HTTP 403) ; données ouvertes sous CC BY 4.0 (citer, lien vers la licence, signaler les modifications) ; interdit de contourner les limites ou d'usurper un autre client, sous peine de blocage définitif.</t>
  </si>
  <si>
    <t xml:space="preserve">3 requêtes toutes les 3 h, User-Agent « AuroraCast » avec contact, Expires et If-Modified-Since lus dans les manifestes, coordonnées tronquées à 4 décimales (en décimal). Citer « Données MET Norway, CC BY 4.0 » dans l'application et le dossier.</t>
  </si>
  <si>
    <t xml:space="preserve">https://api.met.no/robots.txt</t>
  </si>
  <si>
    <t xml:space="preserve">Googlebot et AdsBot-Google : seule la documentation est permise, /weatherapi/* interdit. « User-agent: * » : Disallow vide, donc tout est permis.</t>
  </si>
  <si>
    <t xml:space="preserve">Collecte autorisée pour AuroraCast ; vérifié automatiquement à chaque passage (manifeste : robots = « lu », allowed = true).</t>
  </si>
  <si>
    <t xml:space="preserve">Toutes les sources</t>
  </si>
  <si>
    <t xml:space="preserve">GFZ, NOAA SWPC, OMNIWeb, NOAA GHCNh, NOAA GSOD (via BigQuery) et MET Norway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Obligations d'affichage : une prévision présentée comme celle d'AuroraCast, pas de la NOAA ; mention « Données MET Norway, CC BY 4.0 » à côté des prévisions météo. Coût BigQuery : nul tant que les requêtes restent sous 1 To par mois.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</si>
  <si>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</si>
  <si>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</si>
  <si>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</si>
  <si>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</si>
  <si>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</si>
  <si>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</si>
  <si>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</si>
  <si>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</si>
  <si>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</si>
  <si>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</si>
  <si>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</si>
  <si>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</si>
  <si>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</si>
  <si>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INC-004</t>
  </si>
  <si>
    <t xml:space="preserve">Google BigQuery : base existante bigquery-public-data.noaa_gsod (table stations)</t>
  </si>
  <si>
    <t xml:space="preserve">Backfill SQL GSOD en échec : pour les 3 lieux, « aucune station active à moins de 30 km », alors que les stations TROMSO (0,9 km), KIRUNA (6 km) et ROVANIEMI RAUTATIEASEMA (0,7 km) existent.</t>
  </si>
  <si>
    <t xml:space="preserve">Lecture des résultats de la requête des stations archivés (stations_&lt;lieu&gt;.json) : la colonne « end » vaut 20210920 pour toutes les stations.</t>
  </si>
  <si>
    <t xml:space="preserve">La table de métadonnées « stations » n'est plus mise à jour depuis le 20/09/2021, alors que les tables annuelles de relevés vont jusqu'au 24/08/2025. Le collecteur jugeait l'activité d'une station sur cette date de fin.</t>
  </si>
  <si>
    <t xml:space="preserve">Aucune donnée météo quotidienne collectée pendant ce lancement. Pas de perte durable : la base est historique.</t>
  </si>
  <si>
    <t xml:space="preserve">L'activité d'une station est désormais mesurée dans les relevés eux-mêmes : la requête des stations est jointe (LEFT JOIN) aux relevés de la dernière année et compte les jours mesurés ; une station est retenue avec au moins 30 jours. Test ajouté (commit fd4ff50). Vérifié le 27/10/2026 à 10:45 UTC : 3 stations retenues (236 jours en 2025 chacune), 16 832 jours collectés pour 2010-2025, 8,7 Go lus, coût nul.</t>
  </si>
  <si>
    <t xml:space="preserve">Résolu</t>
  </si>
  <si>
    <t xml:space="preserve">Ne pas faire confiance aux métadonnées d'une base existante : contrôler dans les données elles-mêmes (qualité des données, C1.1.2). Archiver le résultat de chaque requête pour pouvoir diagnostiquer.</t>
  </si>
  <si>
    <t xml:space="preserve">C1.1.2, C4.4.2</t>
  </si>
  <si>
    <t xml:space="preserve">INC-003</t>
  </si>
  <si>
    <t xml:space="preserve">GitHub Actions : planification de la collecte NOAA horaire</t>
  </si>
  <si>
    <t xml:space="preserve">Entre le 26/10 à 19:52 UTC et le 27/10 à 08:40 UTC, seulement 2 passages automatiques (23:40 et 04:32 UTC, environ 33 min de retard) au lieu d'environ 13. Les deux passages ont collecté 9 sources sur 9.</t>
  </si>
  <si>
    <t xml:space="preserve">Comparaison des commits horodatés de la branche raw-data avec la planification (cron « 7 * * * * »).</t>
  </si>
  <si>
    <t xml:space="preserve">L'ordonnanceur de GitHub Actions fonctionne au mieux : la documentation indique que les exécutions planifiées peuvent être retardées, voire supprimées, en période de forte charge, surtout aux heures pleines.</t>
  </si>
  <si>
    <t xml:space="preserve">Kp : aucune perte (le fichier NOAA couvre 7 jours). Vent solaire temps réel : environ 8 h de mesures perdues, à recompléter par OMNIWeb (publié avec environ un mois de retard). Prévisions et alertes émises entre deux passages : en partie perdues.</t>
  </si>
  <si>
    <t xml:space="preserve">Collecte incrémentale du vent solaire : chaque passage reprend après la dernière mesure archivée (lue dans les manifestes précédents), avec 10 min de recouvrement ; une perte n'est possible qu'au-delà de la profondeur du fichier NOAA (environ 20 h, mesurée sur les fichiers archivés) et elle est alors notée au manifeste (lost_from, lost_to). Vérifié du 27/10 au 29/10/2026 : GitHub n'a lancé la collecte que toutes les 4 à 6 h, sans aucune minute de vent solaire perdue. Cadence ensuite fixée à un passage toutes les 3 h (cron « 17 */3 * * * », commit 94f987f), choisie d'après la profondeur mesurée des flux : vent solaire environ 20 h, Kp observé 7 jours, alertes 30 jours ; seul kp_1m (environ 6 h) peut garder des trous, sans effet sur le modèle.</t>
  </si>
  <si>
    <t xml:space="preserve">Ne pas compter sur un ordonnanceur « au mieux » pour une collecte critique : argument pour Airflow (C1.1.3, C4.2.2). Concevoir les collectes pour être rattrapables (incrémentales et idempotentes), et choisir la fréquence d'après la profondeur mesurée de chaque flux plutôt qu'au plus souvent possible.</t>
  </si>
  <si>
    <t xml:space="preserve">C4.4.2, C1.1.3, C4.3.1</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</si>
  <si>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</si>
  <si>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</si>
  <si>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</si>
  <si>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</si>
  <si>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</si>
  <si>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</si>
  <si>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</si>
  <si>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Résolu (bascule vers NOAA GHCNh, historique collecté)</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</si>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</sst>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9"/>
      <color rgb="FF595959"/>
      <name val="Arial"/>
      <family val="0"/>
      <charset val="1"/>
    </font>
    <font>
      <b val="true"/>
      <sz val="11"/>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90</v>
      </c>
    </row>
    <row r="16" customFormat="false" ht="15" hidden="false" customHeight="true" outlineLevel="0" collapsed="false">
      <c r="A16" s="5" t="s">
        <v>101</v>
      </c>
      <c r="B16" s="6" t="s">
        <v>92</v>
      </c>
      <c r="C16" s="6" t="s">
        <v>102</v>
      </c>
      <c r="D16" s="7" t="s">
        <v>103</v>
      </c>
      <c r="E16" s="6" t="s">
        <v>95</v>
      </c>
      <c r="F16" s="6" t="s">
        <v>96</v>
      </c>
      <c r="G16" s="6" t="s">
        <v>97</v>
      </c>
      <c r="H16" s="6" t="s">
        <v>98</v>
      </c>
      <c r="I16" s="7" t="s">
        <v>87</v>
      </c>
      <c r="J16" s="7" t="s">
        <v>24</v>
      </c>
      <c r="K16" s="6" t="s">
        <v>104</v>
      </c>
      <c r="L16" s="6" t="s">
        <v>100</v>
      </c>
      <c r="M16" s="7" t="s">
        <v>90</v>
      </c>
    </row>
    <row r="17" customFormat="false" ht="23.25" hidden="false" customHeight="true" outlineLevel="0" collapsed="false">
      <c r="A17" s="5" t="s">
        <v>105</v>
      </c>
      <c r="B17" s="6" t="s">
        <v>106</v>
      </c>
      <c r="C17" s="6" t="s">
        <v>107</v>
      </c>
      <c r="D17" s="7" t="s">
        <v>108</v>
      </c>
      <c r="E17" s="6" t="s">
        <v>109</v>
      </c>
      <c r="F17" s="6" t="s">
        <v>110</v>
      </c>
      <c r="G17" s="6" t="s">
        <v>111</v>
      </c>
      <c r="H17" s="6" t="s">
        <v>112</v>
      </c>
      <c r="I17" s="7" t="s">
        <v>23</v>
      </c>
      <c r="J17" s="7" t="s">
        <v>24</v>
      </c>
      <c r="K17" s="6" t="s">
        <v>113</v>
      </c>
      <c r="L17" s="6" t="s">
        <v>114</v>
      </c>
      <c r="M17" s="7" t="s">
        <v>115</v>
      </c>
    </row>
    <row r="18" customFormat="false" ht="23.25" hidden="false" customHeight="true" outlineLevel="0" collapsed="false">
      <c r="A18" s="5" t="s">
        <v>116</v>
      </c>
      <c r="B18" s="6" t="s">
        <v>117</v>
      </c>
      <c r="C18" s="6" t="s">
        <v>118</v>
      </c>
      <c r="D18" s="7" t="s">
        <v>119</v>
      </c>
      <c r="E18" s="6" t="s">
        <v>120</v>
      </c>
      <c r="F18" s="6" t="s">
        <v>121</v>
      </c>
      <c r="G18" s="6" t="s">
        <v>122</v>
      </c>
      <c r="H18" s="6" t="s">
        <v>123</v>
      </c>
      <c r="I18" s="7" t="s">
        <v>33</v>
      </c>
      <c r="J18" s="7" t="s">
        <v>50</v>
      </c>
      <c r="K18" s="6" t="s">
        <v>124</v>
      </c>
      <c r="L18" s="6" t="s">
        <v>125</v>
      </c>
      <c r="M18" s="7" t="s">
        <v>90</v>
      </c>
    </row>
    <row r="19" customFormat="false" ht="23.25" hidden="false" customHeight="true" outlineLevel="0" collapsed="false">
      <c r="A19" s="5" t="s">
        <v>126</v>
      </c>
      <c r="B19" s="6" t="s">
        <v>117</v>
      </c>
      <c r="C19" s="6" t="s">
        <v>127</v>
      </c>
      <c r="D19" s="7" t="s">
        <v>128</v>
      </c>
      <c r="E19" s="6" t="s">
        <v>40</v>
      </c>
      <c r="F19" s="6" t="s">
        <v>72</v>
      </c>
      <c r="G19" s="6" t="s">
        <v>129</v>
      </c>
      <c r="H19" s="6" t="s">
        <v>123</v>
      </c>
      <c r="I19" s="7" t="s">
        <v>49</v>
      </c>
      <c r="J19" s="7" t="s">
        <v>50</v>
      </c>
      <c r="K19" s="6" t="s">
        <v>130</v>
      </c>
      <c r="L19" s="6" t="s">
        <v>35</v>
      </c>
      <c r="M19" s="7" t="s">
        <v>90</v>
      </c>
    </row>
    <row r="20" customFormat="false" ht="23.25" hidden="false" customHeight="true" outlineLevel="0" collapsed="false">
      <c r="A20" s="5" t="s">
        <v>131</v>
      </c>
      <c r="B20" s="6" t="s">
        <v>117</v>
      </c>
      <c r="C20" s="6" t="s">
        <v>132</v>
      </c>
      <c r="D20" s="7" t="s">
        <v>133</v>
      </c>
      <c r="E20" s="6" t="s">
        <v>40</v>
      </c>
      <c r="F20" s="6" t="s">
        <v>134</v>
      </c>
      <c r="G20" s="6" t="s">
        <v>135</v>
      </c>
      <c r="H20" s="6" t="s">
        <v>123</v>
      </c>
      <c r="I20" s="7" t="s">
        <v>49</v>
      </c>
      <c r="J20" s="7" t="s">
        <v>56</v>
      </c>
      <c r="K20" s="6" t="s">
        <v>136</v>
      </c>
      <c r="L20" s="6" t="s">
        <v>137</v>
      </c>
      <c r="M20" s="7" t="s">
        <v>90</v>
      </c>
    </row>
    <row r="21" customFormat="false" ht="23.25" hidden="false" customHeight="true" outlineLevel="0" collapsed="false">
      <c r="A21" s="5" t="s">
        <v>138</v>
      </c>
      <c r="B21" s="6" t="s">
        <v>117</v>
      </c>
      <c r="C21" s="6" t="s">
        <v>139</v>
      </c>
      <c r="D21" s="7" t="s">
        <v>78</v>
      </c>
      <c r="E21" s="6" t="s">
        <v>140</v>
      </c>
      <c r="F21" s="6" t="s">
        <v>141</v>
      </c>
      <c r="G21" s="6" t="s">
        <v>142</v>
      </c>
      <c r="H21" s="6" t="s">
        <v>143</v>
      </c>
      <c r="I21" s="7" t="s">
        <v>144</v>
      </c>
      <c r="J21" s="7" t="s">
        <v>50</v>
      </c>
      <c r="K21" s="6" t="s">
        <v>145</v>
      </c>
      <c r="L21" s="6" t="s">
        <v>35</v>
      </c>
      <c r="M21" s="7" t="s">
        <v>146</v>
      </c>
    </row>
    <row r="22" customFormat="false" ht="23.25" hidden="false" customHeight="true" outlineLevel="0" collapsed="false">
      <c r="A22" s="5" t="s">
        <v>147</v>
      </c>
      <c r="B22" s="6" t="s">
        <v>106</v>
      </c>
      <c r="C22" s="6" t="s">
        <v>148</v>
      </c>
      <c r="D22" s="7" t="s">
        <v>149</v>
      </c>
      <c r="E22" s="6" t="s">
        <v>150</v>
      </c>
      <c r="F22" s="6" t="s">
        <v>151</v>
      </c>
      <c r="G22" s="6" t="s">
        <v>152</v>
      </c>
      <c r="H22" s="6" t="s">
        <v>153</v>
      </c>
      <c r="I22" s="7" t="s">
        <v>23</v>
      </c>
      <c r="J22" s="7" t="s">
        <v>50</v>
      </c>
      <c r="K22" s="6" t="s">
        <v>154</v>
      </c>
      <c r="L22" s="6" t="s">
        <v>155</v>
      </c>
      <c r="M22" s="7" t="s">
        <v>156</v>
      </c>
    </row>
    <row r="23" customFormat="false" ht="23.25" hidden="false" customHeight="true" outlineLevel="0" collapsed="false">
      <c r="A23" s="5" t="s">
        <v>157</v>
      </c>
      <c r="B23" s="6" t="s">
        <v>106</v>
      </c>
      <c r="C23" s="6" t="s">
        <v>158</v>
      </c>
      <c r="D23" s="7" t="s">
        <v>159</v>
      </c>
      <c r="E23" s="6" t="s">
        <v>150</v>
      </c>
      <c r="F23" s="6" t="s">
        <v>151</v>
      </c>
      <c r="G23" s="6" t="s">
        <v>152</v>
      </c>
      <c r="H23" s="6" t="s">
        <v>153</v>
      </c>
      <c r="I23" s="7" t="s">
        <v>49</v>
      </c>
      <c r="J23" s="7" t="s">
        <v>50</v>
      </c>
      <c r="K23" s="6" t="s">
        <v>160</v>
      </c>
      <c r="L23" s="6" t="s">
        <v>155</v>
      </c>
      <c r="M23" s="7" t="s">
        <v>156</v>
      </c>
    </row>
    <row r="24" customFormat="false" ht="23.25" hidden="false" customHeight="true" outlineLevel="0" collapsed="false">
      <c r="A24" s="5" t="s">
        <v>161</v>
      </c>
      <c r="B24" s="6" t="s">
        <v>106</v>
      </c>
      <c r="C24" s="6" t="s">
        <v>162</v>
      </c>
      <c r="D24" s="7" t="s">
        <v>163</v>
      </c>
      <c r="E24" s="6" t="s">
        <v>150</v>
      </c>
      <c r="F24" s="6" t="s">
        <v>151</v>
      </c>
      <c r="G24" s="6" t="s">
        <v>152</v>
      </c>
      <c r="H24" s="6" t="s">
        <v>153</v>
      </c>
      <c r="I24" s="7" t="s">
        <v>49</v>
      </c>
      <c r="J24" s="7" t="s">
        <v>24</v>
      </c>
      <c r="K24" s="6" t="s">
        <v>164</v>
      </c>
      <c r="L24" s="6" t="s">
        <v>155</v>
      </c>
      <c r="M24" s="7" t="s">
        <v>156</v>
      </c>
    </row>
    <row r="25" customFormat="false" ht="23.25" hidden="false" customHeight="true" outlineLevel="0" collapsed="false">
      <c r="A25" s="5" t="s">
        <v>165</v>
      </c>
      <c r="B25" s="6" t="s">
        <v>106</v>
      </c>
      <c r="C25" s="6" t="s">
        <v>166</v>
      </c>
      <c r="D25" s="7" t="s">
        <v>167</v>
      </c>
      <c r="E25" s="6" t="s">
        <v>150</v>
      </c>
      <c r="F25" s="6" t="s">
        <v>151</v>
      </c>
      <c r="G25" s="6" t="s">
        <v>152</v>
      </c>
      <c r="H25" s="6" t="s">
        <v>153</v>
      </c>
      <c r="I25" s="7" t="s">
        <v>49</v>
      </c>
      <c r="J25" s="7" t="s">
        <v>24</v>
      </c>
      <c r="K25" s="6" t="s">
        <v>168</v>
      </c>
      <c r="L25" s="6" t="s">
        <v>155</v>
      </c>
      <c r="M25" s="7" t="s">
        <v>156</v>
      </c>
    </row>
    <row r="26" customFormat="false" ht="23.25" hidden="false" customHeight="true" outlineLevel="0" collapsed="false">
      <c r="A26" s="5" t="s">
        <v>169</v>
      </c>
      <c r="B26" s="6" t="s">
        <v>106</v>
      </c>
      <c r="C26" s="6" t="s">
        <v>170</v>
      </c>
      <c r="D26" s="7" t="s">
        <v>171</v>
      </c>
      <c r="E26" s="6" t="s">
        <v>150</v>
      </c>
      <c r="F26" s="6" t="s">
        <v>151</v>
      </c>
      <c r="G26" s="6" t="s">
        <v>152</v>
      </c>
      <c r="H26" s="6" t="s">
        <v>153</v>
      </c>
      <c r="I26" s="7" t="s">
        <v>49</v>
      </c>
      <c r="J26" s="7" t="s">
        <v>56</v>
      </c>
      <c r="K26" s="6" t="s">
        <v>172</v>
      </c>
      <c r="L26" s="6" t="s">
        <v>155</v>
      </c>
      <c r="M26" s="7" t="s">
        <v>156</v>
      </c>
    </row>
    <row r="27" customFormat="false" ht="23.25" hidden="false" customHeight="true" outlineLevel="0" collapsed="false">
      <c r="A27" s="5" t="s">
        <v>173</v>
      </c>
      <c r="B27" s="6" t="s">
        <v>106</v>
      </c>
      <c r="C27" s="6" t="s">
        <v>174</v>
      </c>
      <c r="D27" s="7" t="s">
        <v>175</v>
      </c>
      <c r="E27" s="6" t="s">
        <v>120</v>
      </c>
      <c r="F27" s="6" t="s">
        <v>176</v>
      </c>
      <c r="G27" s="6" t="s">
        <v>177</v>
      </c>
      <c r="H27" s="6" t="s">
        <v>178</v>
      </c>
      <c r="I27" s="7" t="s">
        <v>49</v>
      </c>
      <c r="J27" s="7" t="s">
        <v>56</v>
      </c>
      <c r="K27" s="6" t="s">
        <v>179</v>
      </c>
      <c r="L27" s="6" t="s">
        <v>180</v>
      </c>
      <c r="M27" s="7" t="s">
        <v>181</v>
      </c>
    </row>
    <row r="28" customFormat="false" ht="23.25" hidden="false" customHeight="true" outlineLevel="0" collapsed="false">
      <c r="A28" s="5" t="s">
        <v>182</v>
      </c>
      <c r="B28" s="6" t="s">
        <v>106</v>
      </c>
      <c r="C28" s="6" t="s">
        <v>183</v>
      </c>
      <c r="D28" s="7" t="s">
        <v>184</v>
      </c>
      <c r="E28" s="6" t="s">
        <v>109</v>
      </c>
      <c r="F28" s="6" t="s">
        <v>185</v>
      </c>
      <c r="G28" s="6" t="s">
        <v>186</v>
      </c>
      <c r="H28" s="6" t="s">
        <v>187</v>
      </c>
      <c r="I28" s="7" t="s">
        <v>49</v>
      </c>
      <c r="J28" s="7" t="s">
        <v>56</v>
      </c>
      <c r="K28" s="6" t="s">
        <v>188</v>
      </c>
      <c r="L28" s="6" t="s">
        <v>189</v>
      </c>
      <c r="M28" s="7" t="s">
        <v>190</v>
      </c>
    </row>
    <row r="29" customFormat="false" ht="23.25" hidden="false" customHeight="true" outlineLevel="0" collapsed="false">
      <c r="A29" s="5" t="s">
        <v>191</v>
      </c>
      <c r="B29" s="6" t="s">
        <v>106</v>
      </c>
      <c r="C29" s="6" t="s">
        <v>192</v>
      </c>
      <c r="D29" s="7" t="s">
        <v>108</v>
      </c>
      <c r="E29" s="6" t="s">
        <v>193</v>
      </c>
      <c r="F29" s="6" t="s">
        <v>194</v>
      </c>
      <c r="G29" s="6" t="s">
        <v>195</v>
      </c>
      <c r="H29" s="6" t="s">
        <v>22</v>
      </c>
      <c r="I29" s="7" t="s">
        <v>196</v>
      </c>
      <c r="J29" s="7" t="s">
        <v>24</v>
      </c>
      <c r="K29" s="6" t="s">
        <v>197</v>
      </c>
      <c r="L29" s="6" t="s">
        <v>198</v>
      </c>
      <c r="M29" s="7" t="s">
        <v>199</v>
      </c>
    </row>
    <row r="30" customFormat="false" ht="23.25" hidden="false" customHeight="true" outlineLevel="0" collapsed="false">
      <c r="A30" s="5" t="s">
        <v>200</v>
      </c>
      <c r="B30" s="6" t="s">
        <v>106</v>
      </c>
      <c r="C30" s="6" t="s">
        <v>201</v>
      </c>
      <c r="D30" s="7" t="s">
        <v>108</v>
      </c>
      <c r="E30" s="6" t="s">
        <v>193</v>
      </c>
      <c r="F30" s="6" t="s">
        <v>194</v>
      </c>
      <c r="G30" s="6" t="s">
        <v>202</v>
      </c>
      <c r="H30" s="6" t="s">
        <v>22</v>
      </c>
      <c r="I30" s="7" t="s">
        <v>196</v>
      </c>
      <c r="J30" s="7" t="s">
        <v>50</v>
      </c>
      <c r="K30" s="6" t="s">
        <v>203</v>
      </c>
      <c r="L30" s="6" t="s">
        <v>198</v>
      </c>
      <c r="M30" s="7" t="s">
        <v>199</v>
      </c>
    </row>
  </sheetData>
  <conditionalFormatting sqref="J5:J30">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30">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30" type="list">
      <formula1>"À faire,En cours,Terminé"</formula1>
      <formula2>0</formula2>
    </dataValidation>
    <dataValidation allowBlank="false" errorStyle="stop" operator="between" showDropDown="false" showErrorMessage="false" showInputMessage="false" sqref="J5:J30"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204</v>
      </c>
    </row>
    <row r="3" customFormat="false" ht="15" hidden="false" customHeight="true" outlineLevel="0" collapsed="false">
      <c r="A3" s="8" t="s">
        <v>11</v>
      </c>
      <c r="B3" s="8" t="s">
        <v>205</v>
      </c>
    </row>
    <row r="4" customFormat="false" ht="15" hidden="false" customHeight="true" outlineLevel="0" collapsed="false">
      <c r="A4" s="9" t="s">
        <v>24</v>
      </c>
      <c r="B4" s="10" t="n">
        <f aca="false">COUNTIF('Dictionnaire de données'!$J$5:$J$30,A4)</f>
        <v>10</v>
      </c>
    </row>
    <row r="5" customFormat="false" ht="15" hidden="false" customHeight="true" outlineLevel="0" collapsed="false">
      <c r="A5" s="9" t="s">
        <v>50</v>
      </c>
      <c r="B5" s="10" t="n">
        <f aca="false">COUNTIF('Dictionnaire de données'!$J$5:$J$30,A5)</f>
        <v>10</v>
      </c>
    </row>
    <row r="6" customFormat="false" ht="15" hidden="false" customHeight="true" outlineLevel="0" collapsed="false">
      <c r="A6" s="9" t="s">
        <v>56</v>
      </c>
      <c r="B6" s="10" t="n">
        <f aca="false">COUNTIF('Dictionnaire de données'!$J$5:$J$30,A6)</f>
        <v>5</v>
      </c>
    </row>
    <row r="7" customFormat="false" ht="15" hidden="false" customHeight="true" outlineLevel="0" collapsed="false">
      <c r="A7" s="9" t="s">
        <v>88</v>
      </c>
      <c r="B7" s="10" t="n">
        <f aca="false">COUNTIF('Dictionnaire de données'!$J$5:$J$30,A7)</f>
        <v>1</v>
      </c>
    </row>
    <row r="8" customFormat="false" ht="15" hidden="false" customHeight="true" outlineLevel="0" collapsed="false">
      <c r="A8" s="11" t="s">
        <v>206</v>
      </c>
      <c r="B8" s="12" t="n">
        <f aca="false">SUM(B4:B7)</f>
        <v>26</v>
      </c>
    </row>
    <row r="10" customFormat="false" ht="15" hidden="false" customHeight="true" outlineLevel="0" collapsed="false">
      <c r="A10" s="13" t="s">
        <v>207</v>
      </c>
    </row>
    <row r="11" customFormat="false" ht="15" hidden="false" customHeight="true" outlineLevel="0" collapsed="false">
      <c r="A11" s="9" t="s">
        <v>22</v>
      </c>
      <c r="B11" s="10" t="n">
        <f aca="false">COUNTIF('Dictionnaire de données'!$H$5:$H$30,"*"&amp;A11&amp;"*")</f>
        <v>22</v>
      </c>
    </row>
    <row r="12" customFormat="false" ht="15" hidden="false" customHeight="true" outlineLevel="0" collapsed="false">
      <c r="A12" s="9" t="s">
        <v>208</v>
      </c>
      <c r="B12" s="10" t="n">
        <f aca="false">COUNTIF('Dictionnaire de données'!$H$5:$H$30,"*"&amp;A12&amp;"*")</f>
        <v>5</v>
      </c>
    </row>
    <row r="13" customFormat="false" ht="15" hidden="false" customHeight="true" outlineLevel="0" collapsed="false">
      <c r="A13" s="9" t="s">
        <v>98</v>
      </c>
      <c r="B13" s="10" t="n">
        <f aca="false">COUNTIF('Dictionnaire de données'!$H$5:$H$30,"*"&amp;A13&amp;"*")</f>
        <v>2</v>
      </c>
    </row>
    <row r="14" customFormat="false" ht="15" hidden="false" customHeight="true" outlineLevel="0" collapsed="false">
      <c r="A14" s="9" t="s">
        <v>209</v>
      </c>
      <c r="B14" s="10" t="n">
        <f aca="false">COUNTIF('Dictionnaire de données'!$H$5:$H$30,"*"&amp;A14&amp;"*")</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210</v>
      </c>
    </row>
    <row r="3" customFormat="false" ht="15" hidden="false" customHeight="true" outlineLevel="0" collapsed="false">
      <c r="A3" s="14" t="s">
        <v>211</v>
      </c>
      <c r="B3" s="14" t="s">
        <v>212</v>
      </c>
    </row>
    <row r="4" customFormat="false" ht="23.25" hidden="false" customHeight="true" outlineLevel="0" collapsed="false">
      <c r="A4" s="15" t="s">
        <v>213</v>
      </c>
      <c r="B4" s="16" t="s">
        <v>214</v>
      </c>
    </row>
    <row r="5" customFormat="false" ht="15" hidden="false" customHeight="true" outlineLevel="0" collapsed="false">
      <c r="A5" s="15" t="s">
        <v>215</v>
      </c>
      <c r="B5" s="16" t="s">
        <v>216</v>
      </c>
    </row>
    <row r="6" customFormat="false" ht="23.25" hidden="false" customHeight="true" outlineLevel="0" collapsed="false">
      <c r="A6" s="15" t="s">
        <v>217</v>
      </c>
      <c r="B6" s="16" t="s">
        <v>218</v>
      </c>
    </row>
    <row r="7" customFormat="false" ht="15" hidden="false" customHeight="true" outlineLevel="0" collapsed="false">
      <c r="A7" s="15" t="s">
        <v>219</v>
      </c>
      <c r="B7" s="16" t="s">
        <v>220</v>
      </c>
    </row>
    <row r="8" customFormat="false" ht="15" hidden="false" customHeight="true" outlineLevel="0" collapsed="false">
      <c r="A8" s="15" t="s">
        <v>221</v>
      </c>
      <c r="B8" s="16" t="s">
        <v>222</v>
      </c>
    </row>
    <row r="9" customFormat="false" ht="23.25" hidden="false" customHeight="true" outlineLevel="0" collapsed="false">
      <c r="A9" s="15" t="s">
        <v>223</v>
      </c>
      <c r="B9" s="16" t="s">
        <v>224</v>
      </c>
    </row>
    <row r="10" customFormat="false" ht="15" hidden="false" customHeight="true" outlineLevel="0" collapsed="false">
      <c r="A10" s="15" t="s">
        <v>137</v>
      </c>
      <c r="B10" s="16" t="s">
        <v>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60"/>
    <col collapsed="false" customWidth="true" hidden="false" outlineLevel="0" max="4" min="4" style="1" width="46"/>
    <col collapsed="false" customWidth="true" hidden="false" outlineLevel="0" max="5" min="5" style="1" width="34"/>
    <col collapsed="false" customWidth="true" hidden="false" outlineLevel="0" max="6" min="6" style="1" width="26"/>
  </cols>
  <sheetData>
    <row r="1" customFormat="false" ht="17.25" hidden="false" customHeight="true" outlineLevel="0" collapsed="false">
      <c r="A1" s="2" t="s">
        <v>226</v>
      </c>
    </row>
    <row r="2" customFormat="false" ht="15" hidden="false" customHeight="true" outlineLevel="0" collapsed="false">
      <c r="A2" s="17" t="s">
        <v>227</v>
      </c>
    </row>
    <row r="4" customFormat="false" ht="30" hidden="false" customHeight="true" outlineLevel="0" collapsed="false">
      <c r="A4" s="18" t="s">
        <v>228</v>
      </c>
      <c r="B4" s="18" t="s">
        <v>8</v>
      </c>
      <c r="C4" s="18" t="s">
        <v>229</v>
      </c>
      <c r="D4" s="18" t="s">
        <v>230</v>
      </c>
      <c r="E4" s="18" t="s">
        <v>231</v>
      </c>
      <c r="F4" s="18" t="s">
        <v>232</v>
      </c>
    </row>
    <row r="5" customFormat="false" ht="23.25" hidden="false" customHeight="true" outlineLevel="0" collapsed="false">
      <c r="A5" s="16" t="s">
        <v>22</v>
      </c>
      <c r="B5" s="16" t="s">
        <v>233</v>
      </c>
      <c r="C5" s="16" t="s">
        <v>234</v>
      </c>
      <c r="D5" s="16" t="s">
        <v>235</v>
      </c>
      <c r="E5" s="16" t="s">
        <v>236</v>
      </c>
      <c r="F5" s="16" t="s">
        <v>72</v>
      </c>
    </row>
    <row r="6" customFormat="false" ht="23.25" hidden="false" customHeight="true" outlineLevel="0" collapsed="false">
      <c r="A6" s="16" t="s">
        <v>22</v>
      </c>
      <c r="B6" s="16" t="s">
        <v>237</v>
      </c>
      <c r="C6" s="16" t="s">
        <v>238</v>
      </c>
      <c r="D6" s="16" t="s">
        <v>239</v>
      </c>
      <c r="E6" s="16" t="s">
        <v>240</v>
      </c>
      <c r="F6" s="16" t="s">
        <v>241</v>
      </c>
    </row>
    <row r="7" customFormat="false" ht="23.25" hidden="false" customHeight="true" outlineLevel="0" collapsed="false">
      <c r="A7" s="16" t="s">
        <v>22</v>
      </c>
      <c r="B7" s="16" t="s">
        <v>242</v>
      </c>
      <c r="C7" s="16" t="s">
        <v>243</v>
      </c>
      <c r="D7" s="16" t="s">
        <v>244</v>
      </c>
      <c r="E7" s="16" t="s">
        <v>245</v>
      </c>
      <c r="F7" s="16" t="s">
        <v>246</v>
      </c>
    </row>
    <row r="8" customFormat="false" ht="23.25" hidden="false" customHeight="true" outlineLevel="0" collapsed="false">
      <c r="A8" s="16" t="s">
        <v>208</v>
      </c>
      <c r="B8" s="16" t="s">
        <v>233</v>
      </c>
      <c r="C8" s="16" t="s">
        <v>247</v>
      </c>
      <c r="D8" s="16" t="s">
        <v>248</v>
      </c>
      <c r="E8" s="16" t="s">
        <v>236</v>
      </c>
      <c r="F8" s="16" t="s">
        <v>72</v>
      </c>
    </row>
    <row r="9" customFormat="false" ht="23.25" hidden="false" customHeight="true" outlineLevel="0" collapsed="false">
      <c r="A9" s="16" t="s">
        <v>249</v>
      </c>
      <c r="B9" s="16" t="s">
        <v>250</v>
      </c>
      <c r="C9" s="16" t="s">
        <v>251</v>
      </c>
      <c r="D9" s="16" t="s">
        <v>252</v>
      </c>
      <c r="E9" s="16" t="s">
        <v>253</v>
      </c>
      <c r="F9" s="16" t="s">
        <v>254</v>
      </c>
    </row>
    <row r="10" customFormat="false" ht="15" hidden="false" customHeight="true" outlineLevel="0" collapsed="false">
      <c r="A10" s="16" t="s">
        <v>209</v>
      </c>
      <c r="B10" s="16" t="s">
        <v>255</v>
      </c>
      <c r="C10" s="16" t="s">
        <v>256</v>
      </c>
      <c r="D10" s="16" t="s">
        <v>257</v>
      </c>
      <c r="E10" s="16" t="s">
        <v>258</v>
      </c>
      <c r="F10" s="16" t="s">
        <v>259</v>
      </c>
    </row>
    <row r="11" customFormat="false" ht="15" hidden="false" customHeight="true" outlineLevel="0" collapsed="false">
      <c r="A11" s="16" t="s">
        <v>260</v>
      </c>
      <c r="B11" s="16" t="s">
        <v>261</v>
      </c>
      <c r="C11" s="16" t="s">
        <v>262</v>
      </c>
      <c r="D11" s="16" t="s">
        <v>263</v>
      </c>
      <c r="E11" s="16" t="s">
        <v>264</v>
      </c>
      <c r="F11" s="16" t="s">
        <v>254</v>
      </c>
    </row>
    <row r="12" customFormat="false" ht="15" hidden="false" customHeight="true" outlineLevel="0" collapsed="false"/>
    <row r="13" customFormat="false" ht="15" hidden="false" customHeight="true" outlineLevel="0" collapsed="false">
      <c r="A13" s="13" t="s">
        <v>265</v>
      </c>
    </row>
    <row r="14" customFormat="false" ht="15" hidden="false" customHeight="true" outlineLevel="0" collapsed="false">
      <c r="A14" s="13" t="s">
        <v>228</v>
      </c>
      <c r="B14" s="13" t="s">
        <v>266</v>
      </c>
    </row>
    <row r="15" customFormat="false" ht="15" hidden="false" customHeight="true" outlineLevel="0" collapsed="false">
      <c r="A15" s="19" t="s">
        <v>22</v>
      </c>
      <c r="B15" s="19" t="n">
        <f aca="false">COUNTIF($A$5:$A$11,A15)</f>
        <v>3</v>
      </c>
    </row>
    <row r="16" customFormat="false" ht="15" hidden="false" customHeight="true" outlineLevel="0" collapsed="false">
      <c r="A16" s="19" t="s">
        <v>208</v>
      </c>
      <c r="B16" s="19" t="n">
        <f aca="false">COUNTIF($A$5:$A$11,A16)</f>
        <v>1</v>
      </c>
    </row>
    <row r="17" customFormat="false" ht="15" hidden="false" customHeight="true" outlineLevel="0" collapsed="false">
      <c r="A17" s="19" t="s">
        <v>249</v>
      </c>
      <c r="B17" s="19" t="n">
        <f aca="false">COUNTIF($A$5:$A$11,A17)</f>
        <v>1</v>
      </c>
    </row>
    <row r="18" customFormat="false" ht="15" hidden="false" customHeight="true" outlineLevel="0" collapsed="false">
      <c r="A18" s="19" t="s">
        <v>209</v>
      </c>
      <c r="B18" s="19" t="n">
        <f aca="false">COUNTIF($A$5:$A$11,A18)</f>
        <v>1</v>
      </c>
    </row>
    <row r="19" customFormat="false" ht="15" hidden="false" customHeight="true" outlineLevel="0" collapsed="false">
      <c r="A19" s="19" t="s">
        <v>260</v>
      </c>
      <c r="B19" s="19" t="n">
        <f aca="false">COUNTIF($A$5:$A$11,A19)</f>
        <v>1</v>
      </c>
    </row>
    <row r="20" customFormat="false" ht="15" hidden="false" customHeight="true" outlineLevel="0" collapsed="false">
      <c r="A20" s="13" t="s">
        <v>206</v>
      </c>
      <c r="B20" s="13" t="n">
        <f aca="false">SUM(B15:B19)</f>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50"/>
    <col collapsed="false" customWidth="true" hidden="false" outlineLevel="0" max="3" min="3" style="1" width="56"/>
  </cols>
  <sheetData>
    <row r="1" customFormat="false" ht="17.25" hidden="false" customHeight="true" outlineLevel="0" collapsed="false">
      <c r="A1" s="2" t="s">
        <v>267</v>
      </c>
    </row>
    <row r="2" customFormat="false" ht="15" hidden="false" customHeight="true" outlineLevel="0" collapsed="false">
      <c r="A2" s="17" t="s">
        <v>268</v>
      </c>
    </row>
    <row r="4" customFormat="false" ht="30" hidden="false" customHeight="true" outlineLevel="0" collapsed="false">
      <c r="B4" s="18" t="s">
        <v>269</v>
      </c>
      <c r="C4" s="18" t="s">
        <v>270</v>
      </c>
    </row>
    <row r="5" customFormat="false" ht="15" hidden="false" customHeight="true" outlineLevel="0" collapsed="false">
      <c r="A5" s="16" t="s">
        <v>228</v>
      </c>
      <c r="B5" s="16" t="s">
        <v>178</v>
      </c>
      <c r="C5" s="16" t="s">
        <v>271</v>
      </c>
    </row>
    <row r="6" customFormat="false" ht="15" hidden="false" customHeight="true" outlineLevel="0" collapsed="false">
      <c r="A6" s="16" t="s">
        <v>212</v>
      </c>
      <c r="B6" s="16" t="s">
        <v>272</v>
      </c>
      <c r="C6" s="16" t="s">
        <v>273</v>
      </c>
    </row>
    <row r="7" customFormat="false" ht="15" hidden="false" customHeight="true" outlineLevel="0" collapsed="false">
      <c r="A7" s="16" t="s">
        <v>274</v>
      </c>
      <c r="B7" s="16" t="s">
        <v>275</v>
      </c>
      <c r="C7" s="16" t="s">
        <v>276</v>
      </c>
    </row>
    <row r="8" customFormat="false" ht="15" hidden="false" customHeight="true" outlineLevel="0" collapsed="false">
      <c r="A8" s="16" t="s">
        <v>277</v>
      </c>
      <c r="B8" s="16" t="s">
        <v>278</v>
      </c>
      <c r="C8" s="16" t="s">
        <v>279</v>
      </c>
    </row>
    <row r="9" customFormat="false" ht="23.25" hidden="false" customHeight="true" outlineLevel="0" collapsed="false">
      <c r="A9" s="16" t="s">
        <v>280</v>
      </c>
      <c r="B9" s="16" t="s">
        <v>281</v>
      </c>
      <c r="C9" s="16" t="s">
        <v>282</v>
      </c>
    </row>
    <row r="10" customFormat="false" ht="23.25" hidden="false" customHeight="true" outlineLevel="0" collapsed="false">
      <c r="A10" s="16" t="s">
        <v>283</v>
      </c>
      <c r="B10" s="16" t="s">
        <v>284</v>
      </c>
      <c r="C10" s="16"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286</v>
      </c>
    </row>
    <row r="2" customFormat="false" ht="15" hidden="false" customHeight="true" outlineLevel="0" collapsed="false">
      <c r="A2" s="3" t="s">
        <v>287</v>
      </c>
    </row>
    <row r="4" customFormat="false" ht="15" hidden="false" customHeight="true" outlineLevel="0" collapsed="false">
      <c r="A4" s="18" t="s">
        <v>288</v>
      </c>
      <c r="B4" s="18" t="s">
        <v>289</v>
      </c>
      <c r="C4" s="18" t="s">
        <v>290</v>
      </c>
      <c r="D4" s="18" t="s">
        <v>291</v>
      </c>
      <c r="E4" s="18" t="s">
        <v>292</v>
      </c>
    </row>
    <row r="5" customFormat="false" ht="94.5" hidden="false" customHeight="true" outlineLevel="0" collapsed="false">
      <c r="A5" s="15" t="s">
        <v>293</v>
      </c>
      <c r="B5" s="16" t="s">
        <v>294</v>
      </c>
      <c r="C5" s="16" t="s">
        <v>295</v>
      </c>
      <c r="D5" s="16" t="s">
        <v>296</v>
      </c>
      <c r="E5" s="16" t="s">
        <v>297</v>
      </c>
    </row>
    <row r="6" customFormat="false" ht="94.5" hidden="false" customHeight="true" outlineLevel="0" collapsed="false">
      <c r="A6" s="15" t="s">
        <v>293</v>
      </c>
      <c r="B6" s="16" t="s">
        <v>294</v>
      </c>
      <c r="C6" s="16" t="s">
        <v>298</v>
      </c>
      <c r="D6" s="16" t="s">
        <v>299</v>
      </c>
      <c r="E6" s="16" t="s">
        <v>300</v>
      </c>
    </row>
    <row r="7" customFormat="false" ht="94.5" hidden="false" customHeight="true" outlineLevel="0" collapsed="false">
      <c r="A7" s="15" t="s">
        <v>293</v>
      </c>
      <c r="B7" s="16" t="s">
        <v>294</v>
      </c>
      <c r="C7" s="16" t="s">
        <v>301</v>
      </c>
      <c r="D7" s="16" t="s">
        <v>302</v>
      </c>
      <c r="E7" s="16" t="s">
        <v>303</v>
      </c>
    </row>
    <row r="8" customFormat="false" ht="94.5" hidden="false" customHeight="true" outlineLevel="0" collapsed="false">
      <c r="A8" s="15" t="s">
        <v>304</v>
      </c>
      <c r="B8" s="16" t="s">
        <v>305</v>
      </c>
      <c r="C8" s="16" t="s">
        <v>306</v>
      </c>
      <c r="D8" s="16" t="s">
        <v>307</v>
      </c>
      <c r="E8" s="16" t="s">
        <v>308</v>
      </c>
    </row>
    <row r="9" customFormat="false" ht="94.5" hidden="false" customHeight="true" outlineLevel="0" collapsed="false">
      <c r="A9" s="15" t="s">
        <v>309</v>
      </c>
      <c r="B9" s="16" t="s">
        <v>87</v>
      </c>
      <c r="C9" s="16" t="s">
        <v>310</v>
      </c>
      <c r="D9" s="16" t="s">
        <v>311</v>
      </c>
      <c r="E9" s="16" t="s">
        <v>312</v>
      </c>
    </row>
    <row r="10" customFormat="false" ht="69.75" hidden="false" customHeight="true" outlineLevel="0" collapsed="false">
      <c r="A10" s="15" t="s">
        <v>313</v>
      </c>
      <c r="B10" s="16" t="s">
        <v>314</v>
      </c>
      <c r="C10" s="16" t="s">
        <v>315</v>
      </c>
      <c r="D10" s="16" t="s">
        <v>316</v>
      </c>
      <c r="E10" s="16" t="s">
        <v>317</v>
      </c>
    </row>
    <row r="11" customFormat="false" ht="69.75" hidden="false" customHeight="true" outlineLevel="0" collapsed="false">
      <c r="A11" s="15" t="s">
        <v>313</v>
      </c>
      <c r="B11" s="16" t="s">
        <v>314</v>
      </c>
      <c r="C11" s="16" t="s">
        <v>318</v>
      </c>
      <c r="D11" s="16" t="s">
        <v>319</v>
      </c>
      <c r="E11" s="16" t="s">
        <v>320</v>
      </c>
    </row>
    <row r="12" customFormat="false" ht="69.75" hidden="false" customHeight="true" outlineLevel="0" collapsed="false">
      <c r="A12" s="15" t="s">
        <v>313</v>
      </c>
      <c r="B12" s="16" t="s">
        <v>314</v>
      </c>
      <c r="C12" s="16" t="s">
        <v>321</v>
      </c>
      <c r="D12" s="16" t="s">
        <v>322</v>
      </c>
      <c r="E12" s="16" t="s">
        <v>323</v>
      </c>
    </row>
    <row r="13" customFormat="false" ht="69.75" hidden="false" customHeight="true" outlineLevel="0" collapsed="false">
      <c r="A13" s="15" t="s">
        <v>313</v>
      </c>
      <c r="B13" s="16" t="s">
        <v>314</v>
      </c>
      <c r="C13" s="16" t="s">
        <v>324</v>
      </c>
      <c r="D13" s="16" t="s">
        <v>325</v>
      </c>
      <c r="E13" s="16" t="s">
        <v>326</v>
      </c>
    </row>
    <row r="14" customFormat="false" ht="69.75" hidden="false" customHeight="true" outlineLevel="0" collapsed="false">
      <c r="A14" s="15" t="s">
        <v>313</v>
      </c>
      <c r="B14" s="16" t="s">
        <v>314</v>
      </c>
      <c r="C14" s="16" t="s">
        <v>327</v>
      </c>
      <c r="D14" s="16" t="s">
        <v>328</v>
      </c>
      <c r="E14" s="16" t="s">
        <v>329</v>
      </c>
    </row>
    <row r="16" customFormat="false" ht="15" hidden="false" customHeight="true" outlineLevel="0" collapsed="false">
      <c r="A16" s="20" t="s">
        <v>330</v>
      </c>
    </row>
    <row r="17" customFormat="false" ht="94.5" hidden="false" customHeight="true" outlineLevel="0" collapsed="false">
      <c r="A17" s="21" t="s">
        <v>331</v>
      </c>
      <c r="B17" s="21"/>
      <c r="C17" s="21"/>
      <c r="D17" s="21"/>
      <c r="E17" s="21"/>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332</v>
      </c>
    </row>
    <row r="2" customFormat="false" ht="15" hidden="false" customHeight="true" outlineLevel="0" collapsed="false">
      <c r="A2" s="17" t="s">
        <v>333</v>
      </c>
    </row>
    <row r="4" customFormat="false" ht="15" hidden="false" customHeight="true" outlineLevel="0" collapsed="false">
      <c r="A4" s="18" t="s">
        <v>8</v>
      </c>
      <c r="B4" s="18" t="s">
        <v>288</v>
      </c>
      <c r="C4" s="18" t="s">
        <v>289</v>
      </c>
      <c r="D4" s="18" t="s">
        <v>291</v>
      </c>
      <c r="E4" s="18" t="s">
        <v>334</v>
      </c>
    </row>
    <row r="5" customFormat="false" ht="34.5" hidden="false" customHeight="true" outlineLevel="0" collapsed="false">
      <c r="A5" s="16" t="s">
        <v>335</v>
      </c>
      <c r="B5" s="16" t="s">
        <v>336</v>
      </c>
      <c r="C5" s="16" t="s">
        <v>337</v>
      </c>
      <c r="D5" s="16" t="s">
        <v>338</v>
      </c>
      <c r="E5" s="16" t="s">
        <v>339</v>
      </c>
    </row>
    <row r="6" customFormat="false" ht="34.5" hidden="false" customHeight="true" outlineLevel="0" collapsed="false">
      <c r="A6" s="16" t="s">
        <v>335</v>
      </c>
      <c r="B6" s="16" t="s">
        <v>340</v>
      </c>
      <c r="C6" s="16" t="s">
        <v>341</v>
      </c>
      <c r="D6" s="16" t="s">
        <v>342</v>
      </c>
      <c r="E6" s="16" t="s">
        <v>343</v>
      </c>
    </row>
    <row r="7" customFormat="false" ht="23.25" hidden="false" customHeight="true" outlineLevel="0" collapsed="false">
      <c r="A7" s="16" t="s">
        <v>335</v>
      </c>
      <c r="B7" s="16" t="s">
        <v>344</v>
      </c>
      <c r="C7" s="16" t="s">
        <v>345</v>
      </c>
      <c r="D7" s="16" t="s">
        <v>346</v>
      </c>
      <c r="E7" s="16" t="s">
        <v>347</v>
      </c>
    </row>
    <row r="8" customFormat="false" ht="45.75" hidden="false" customHeight="true" outlineLevel="0" collapsed="false">
      <c r="A8" s="16" t="s">
        <v>348</v>
      </c>
      <c r="B8" s="16" t="s">
        <v>349</v>
      </c>
      <c r="C8" s="16" t="s">
        <v>350</v>
      </c>
      <c r="D8" s="16" t="s">
        <v>351</v>
      </c>
      <c r="E8" s="16" t="s">
        <v>352</v>
      </c>
    </row>
    <row r="9" customFormat="false" ht="23.25" hidden="false" customHeight="true" outlineLevel="0" collapsed="false">
      <c r="A9" s="16" t="s">
        <v>348</v>
      </c>
      <c r="B9" s="16" t="s">
        <v>353</v>
      </c>
      <c r="C9" s="16" t="s">
        <v>354</v>
      </c>
      <c r="D9" s="16" t="s">
        <v>355</v>
      </c>
      <c r="E9" s="16" t="s">
        <v>356</v>
      </c>
    </row>
    <row r="10" customFormat="false" ht="23.25" hidden="false" customHeight="true" outlineLevel="0" collapsed="false">
      <c r="A10" s="16" t="s">
        <v>348</v>
      </c>
      <c r="B10" s="16" t="s">
        <v>357</v>
      </c>
      <c r="C10" s="16" t="s">
        <v>358</v>
      </c>
      <c r="D10" s="16" t="s">
        <v>359</v>
      </c>
      <c r="E10" s="16" t="s">
        <v>360</v>
      </c>
    </row>
    <row r="11" customFormat="false" ht="45.75" hidden="false" customHeight="true" outlineLevel="0" collapsed="false">
      <c r="A11" s="16" t="s">
        <v>361</v>
      </c>
      <c r="B11" s="16" t="s">
        <v>362</v>
      </c>
      <c r="C11" s="16" t="s">
        <v>363</v>
      </c>
      <c r="D11" s="16" t="s">
        <v>364</v>
      </c>
      <c r="E11" s="16" t="s">
        <v>365</v>
      </c>
    </row>
    <row r="12" customFormat="false" ht="23.25" hidden="false" customHeight="true" outlineLevel="0" collapsed="false">
      <c r="A12" s="16" t="s">
        <v>361</v>
      </c>
      <c r="B12" s="16" t="s">
        <v>366</v>
      </c>
      <c r="C12" s="16" t="s">
        <v>367</v>
      </c>
      <c r="D12" s="16" t="s">
        <v>368</v>
      </c>
      <c r="E12" s="16" t="s">
        <v>369</v>
      </c>
    </row>
    <row r="13" customFormat="false" ht="23.25" hidden="false" customHeight="true" outlineLevel="0" collapsed="false">
      <c r="A13" s="16" t="s">
        <v>361</v>
      </c>
      <c r="B13" s="16" t="s">
        <v>370</v>
      </c>
      <c r="C13" s="16" t="s">
        <v>371</v>
      </c>
      <c r="D13" s="16" t="s">
        <v>372</v>
      </c>
      <c r="E13" s="16" t="s">
        <v>373</v>
      </c>
    </row>
    <row r="14" customFormat="false" ht="34.5" hidden="false" customHeight="true" outlineLevel="0" collapsed="false">
      <c r="A14" s="16" t="s">
        <v>374</v>
      </c>
      <c r="B14" s="16" t="s">
        <v>375</v>
      </c>
      <c r="C14" s="16" t="s">
        <v>376</v>
      </c>
      <c r="D14" s="16" t="s">
        <v>377</v>
      </c>
      <c r="E14" s="16" t="s">
        <v>378</v>
      </c>
    </row>
    <row r="15" customFormat="false" ht="34.5" hidden="false" customHeight="true" outlineLevel="0" collapsed="false">
      <c r="A15" s="16" t="s">
        <v>374</v>
      </c>
      <c r="B15" s="16" t="s">
        <v>379</v>
      </c>
      <c r="C15" s="16" t="s">
        <v>380</v>
      </c>
      <c r="D15" s="16" t="s">
        <v>381</v>
      </c>
      <c r="E15" s="16" t="s">
        <v>382</v>
      </c>
    </row>
    <row r="16" customFormat="false" ht="45.75" hidden="false" customHeight="true" outlineLevel="0" collapsed="false">
      <c r="A16" s="20" t="s">
        <v>383</v>
      </c>
      <c r="B16" s="1" t="s">
        <v>384</v>
      </c>
      <c r="C16" s="1" t="s">
        <v>385</v>
      </c>
      <c r="D16" s="1" t="s">
        <v>386</v>
      </c>
      <c r="E16" s="1" t="s">
        <v>387</v>
      </c>
    </row>
    <row r="17" customFormat="false" ht="15" hidden="false" customHeight="true" outlineLevel="0" collapsed="false">
      <c r="A17" s="1" t="s">
        <v>383</v>
      </c>
      <c r="B17" s="1" t="s">
        <v>388</v>
      </c>
      <c r="C17" s="1" t="s">
        <v>389</v>
      </c>
      <c r="D17" s="1" t="s">
        <v>390</v>
      </c>
      <c r="E17" s="1" t="s">
        <v>391</v>
      </c>
    </row>
    <row r="18" customFormat="false" ht="15" hidden="false" customHeight="true" outlineLevel="0" collapsed="false">
      <c r="A18" s="16" t="s">
        <v>392</v>
      </c>
      <c r="B18" s="16" t="s">
        <v>393</v>
      </c>
      <c r="C18" s="16" t="s">
        <v>394</v>
      </c>
      <c r="D18" s="16" t="s">
        <v>395</v>
      </c>
      <c r="E18" s="16" t="s">
        <v>396</v>
      </c>
    </row>
    <row r="19" customFormat="false" ht="15" hidden="false" customHeight="true" outlineLevel="0" collapsed="false">
      <c r="A19" s="16" t="s">
        <v>397</v>
      </c>
      <c r="B19" s="16" t="s">
        <v>398</v>
      </c>
      <c r="C19" s="16" t="s">
        <v>399</v>
      </c>
      <c r="D19" s="16" t="s">
        <v>400</v>
      </c>
      <c r="E19" s="16" t="s">
        <v>401</v>
      </c>
    </row>
    <row r="20" customFormat="false" ht="15" hidden="false" customHeight="true" outlineLevel="0" collapsed="false">
      <c r="A20" s="16" t="s">
        <v>397</v>
      </c>
      <c r="B20" s="16" t="s">
        <v>402</v>
      </c>
      <c r="C20" s="16" t="s">
        <v>403</v>
      </c>
      <c r="D20" s="16" t="s">
        <v>404</v>
      </c>
      <c r="E20" s="16" t="s">
        <v>405</v>
      </c>
    </row>
    <row r="21" customFormat="false" ht="105" hidden="false" customHeight="true" outlineLevel="0" collapsed="false">
      <c r="A21" s="16" t="s">
        <v>406</v>
      </c>
      <c r="B21" s="16" t="s">
        <v>407</v>
      </c>
      <c r="C21" s="16" t="s">
        <v>408</v>
      </c>
      <c r="D21" s="16" t="s">
        <v>409</v>
      </c>
      <c r="E21" s="16" t="s">
        <v>410</v>
      </c>
    </row>
    <row r="22" customFormat="false" ht="60" hidden="false" customHeight="true" outlineLevel="0" collapsed="false">
      <c r="A22" s="16" t="s">
        <v>406</v>
      </c>
      <c r="B22" s="16" t="s">
        <v>313</v>
      </c>
      <c r="C22" s="16" t="s">
        <v>411</v>
      </c>
      <c r="D22" s="16" t="s">
        <v>412</v>
      </c>
      <c r="E22" s="16" t="s">
        <v>413</v>
      </c>
    </row>
    <row r="23" customFormat="false" ht="15" hidden="false" customHeight="true" outlineLevel="0" collapsed="false">
      <c r="A23" s="16" t="s">
        <v>414</v>
      </c>
    </row>
    <row r="24" customFormat="false" ht="90" hidden="false" customHeight="true" outlineLevel="0" collapsed="false"/>
    <row r="25" customFormat="false" ht="15" hidden="false" customHeight="true" outlineLevel="0" collapsed="false">
      <c r="A25" s="20" t="s">
        <v>330</v>
      </c>
    </row>
    <row r="26" customFormat="false" ht="105" hidden="false" customHeight="true" outlineLevel="0" collapsed="false">
      <c r="A26" s="21" t="s">
        <v>415</v>
      </c>
      <c r="B26" s="21"/>
      <c r="C26" s="21"/>
      <c r="D26" s="21"/>
      <c r="E26" s="21"/>
    </row>
  </sheetData>
  <mergeCells count="1">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416</v>
      </c>
    </row>
    <row r="2" customFormat="false" ht="15" hidden="false" customHeight="true" outlineLevel="0" collapsed="false">
      <c r="A2" s="17" t="s">
        <v>417</v>
      </c>
    </row>
    <row r="4" customFormat="false" ht="30" hidden="false" customHeight="true" outlineLevel="0" collapsed="false">
      <c r="A4" s="18" t="s">
        <v>418</v>
      </c>
      <c r="B4" s="18" t="s">
        <v>419</v>
      </c>
      <c r="C4" s="18" t="s">
        <v>420</v>
      </c>
      <c r="D4" s="18" t="s">
        <v>421</v>
      </c>
      <c r="E4" s="18" t="s">
        <v>422</v>
      </c>
      <c r="F4" s="18" t="s">
        <v>423</v>
      </c>
      <c r="G4" s="18" t="s">
        <v>424</v>
      </c>
      <c r="H4" s="18" t="s">
        <v>425</v>
      </c>
      <c r="I4" s="18" t="s">
        <v>426</v>
      </c>
      <c r="J4" s="18" t="s">
        <v>14</v>
      </c>
      <c r="K4" s="18" t="s">
        <v>427</v>
      </c>
      <c r="L4" s="18" t="s">
        <v>428</v>
      </c>
    </row>
    <row r="5" customFormat="false" ht="90" hidden="false" customHeight="true" outlineLevel="0" collapsed="false">
      <c r="A5" s="16" t="s">
        <v>429</v>
      </c>
      <c r="B5" s="22" t="n">
        <v>46322</v>
      </c>
      <c r="C5" s="16" t="s">
        <v>430</v>
      </c>
      <c r="D5" s="16" t="s">
        <v>431</v>
      </c>
      <c r="E5" s="16" t="s">
        <v>432</v>
      </c>
      <c r="F5" s="16" t="s">
        <v>433</v>
      </c>
      <c r="G5" s="16" t="s">
        <v>434</v>
      </c>
      <c r="H5" s="16" t="s">
        <v>435</v>
      </c>
      <c r="I5" s="22" t="n">
        <v>46322</v>
      </c>
      <c r="J5" s="16" t="s">
        <v>436</v>
      </c>
      <c r="K5" s="16" t="s">
        <v>437</v>
      </c>
      <c r="L5" s="16" t="s">
        <v>438</v>
      </c>
    </row>
    <row r="6" customFormat="false" ht="79.5" hidden="false" customHeight="true" outlineLevel="0" collapsed="false">
      <c r="A6" s="16" t="s">
        <v>439</v>
      </c>
      <c r="B6" s="22" t="n">
        <v>46322</v>
      </c>
      <c r="C6" s="16" t="s">
        <v>440</v>
      </c>
      <c r="D6" s="16" t="s">
        <v>441</v>
      </c>
      <c r="E6" s="16" t="s">
        <v>442</v>
      </c>
      <c r="F6" s="16" t="s">
        <v>443</v>
      </c>
      <c r="G6" s="16" t="s">
        <v>444</v>
      </c>
      <c r="H6" s="16" t="s">
        <v>445</v>
      </c>
      <c r="I6" s="22" t="n">
        <v>46324</v>
      </c>
      <c r="J6" s="16" t="s">
        <v>436</v>
      </c>
      <c r="K6" s="16" t="s">
        <v>446</v>
      </c>
      <c r="L6" s="16" t="s">
        <v>447</v>
      </c>
    </row>
    <row r="7" customFormat="false" ht="79.5" hidden="false" customHeight="true" outlineLevel="0" collapsed="false">
      <c r="A7" s="16" t="s">
        <v>448</v>
      </c>
      <c r="B7" s="22" t="n">
        <v>46321</v>
      </c>
      <c r="C7" s="16" t="s">
        <v>449</v>
      </c>
      <c r="D7" s="16" t="s">
        <v>450</v>
      </c>
      <c r="E7" s="16" t="s">
        <v>451</v>
      </c>
      <c r="F7" s="16" t="s">
        <v>452</v>
      </c>
      <c r="G7" s="16" t="s">
        <v>453</v>
      </c>
      <c r="H7" s="16" t="s">
        <v>454</v>
      </c>
      <c r="I7" s="22"/>
      <c r="J7" s="16" t="s">
        <v>455</v>
      </c>
      <c r="K7" s="16" t="s">
        <v>456</v>
      </c>
      <c r="L7" s="16" t="s">
        <v>457</v>
      </c>
    </row>
    <row r="8" customFormat="false" ht="79.5" hidden="false" customHeight="true" outlineLevel="0" collapsed="false">
      <c r="A8" s="16" t="s">
        <v>458</v>
      </c>
      <c r="B8" s="22" t="n">
        <v>46321</v>
      </c>
      <c r="C8" s="16" t="s">
        <v>459</v>
      </c>
      <c r="D8" s="16" t="s">
        <v>460</v>
      </c>
      <c r="E8" s="16" t="s">
        <v>461</v>
      </c>
      <c r="F8" s="16" t="s">
        <v>462</v>
      </c>
      <c r="G8" s="16" t="s">
        <v>463</v>
      </c>
      <c r="H8" s="16" t="s">
        <v>464</v>
      </c>
      <c r="I8" s="22" t="n">
        <v>46321</v>
      </c>
      <c r="J8" s="16" t="s">
        <v>436</v>
      </c>
      <c r="K8" s="16" t="s">
        <v>465</v>
      </c>
      <c r="L8" s="16" t="s">
        <v>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2026-10-29T09:19:34Z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