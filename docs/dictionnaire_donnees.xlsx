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ictionnaire de données" sheetId="1" state="visible" r:id="rId1"/>
    <sheet xmlns:r="http://schemas.openxmlformats.org/officeDocument/2006/relationships" name="Synthèse" sheetId="2" state="visible" r:id="rId2"/>
    <sheet xmlns:r="http://schemas.openxmlformats.org/officeDocument/2006/relationships" name="Notes" sheetId="3" state="visible" r:id="rId3"/>
    <sheet xmlns:r="http://schemas.openxmlformats.org/officeDocument/2006/relationships" name="Techniques de collecte" sheetId="4" state="visible" r:id="rId4"/>
    <sheet xmlns:r="http://schemas.openxmlformats.org/officeDocument/2006/relationships" name="GSOD et GHCNh" sheetId="5" state="visible" r:id="rId5"/>
    <sheet xmlns:r="http://schemas.openxmlformats.org/officeDocument/2006/relationships" name="Entrepôt" sheetId="6" state="visible" r:id="rId6"/>
    <sheet xmlns:r="http://schemas.openxmlformats.org/officeDocument/2006/relationships" name="Modèles" sheetId="7" state="visible" r:id="rId7"/>
    <sheet xmlns:r="http://schemas.openxmlformats.org/officeDocument/2006/relationships" name="Application" sheetId="8" state="visible" r:id="rId8"/>
    <sheet xmlns:r="http://schemas.openxmlformats.org/officeDocument/2006/relationships" name="Chaîne automatisée" sheetId="9" state="visible" r:id="rId9"/>
    <sheet xmlns:r="http://schemas.openxmlformats.org/officeDocument/2006/relationships" name="Vérification CGU" sheetId="10" state="visible" r:id="rId10"/>
    <sheet xmlns:r="http://schemas.openxmlformats.org/officeDocument/2006/relationships" name="Vérification CGU sources" sheetId="11" state="visible" r:id="rId11"/>
    <sheet xmlns:r="http://schemas.openxmlformats.org/officeDocument/2006/relationships" name="Journal des incidents" sheetId="12" state="visible" r:id="rId12"/>
  </sheets>
  <definedNames/>
  <calcPr calcId="124519" fullCalcOnLoad="1" refMode="A1" iterate="0" iterateCount="100" iterateDelta="0.0001"/>
</workbook>
</file>

<file path=xl/styles.xml><?xml version="1.0" encoding="utf-8"?>
<styleSheet xmlns="http://schemas.openxmlformats.org/spreadsheetml/2006/main">
  <numFmts count="2">
    <numFmt numFmtId="164" formatCode="dd/mm/yyyy"/>
    <numFmt numFmtId="165" formatCode="# ##0"/>
  </numFmts>
  <fonts count="17">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4"/>
    </font>
    <font>
      <name val="Arial"/>
      <charset val="1"/>
      <family val="0"/>
      <i val="1"/>
      <color rgb="FF595959"/>
      <sz val="9"/>
    </font>
    <font>
      <name val="Arial"/>
      <charset val="1"/>
      <family val="0"/>
      <b val="1"/>
      <color rgb="FFFFFFFF"/>
      <sz val="11"/>
    </font>
    <font>
      <name val="Arial"/>
      <charset val="1"/>
      <family val="0"/>
      <b val="1"/>
      <sz val="10"/>
    </font>
    <font>
      <name val="Arial"/>
      <charset val="1"/>
      <family val="0"/>
      <sz val="10"/>
    </font>
    <font>
      <name val="Arial"/>
      <charset val="1"/>
      <family val="0"/>
      <color rgb="FF595959"/>
      <sz val="9"/>
    </font>
    <font>
      <name val="Arial"/>
      <charset val="1"/>
      <family val="0"/>
      <b val="1"/>
      <sz val="11"/>
    </font>
    <font>
      <name val="Arial"/>
      <b val="1"/>
      <color rgb="FF1F3864"/>
      <sz val="14"/>
    </font>
    <font>
      <name val="Arial"/>
      <color rgb="FF595959"/>
      <sz val="10"/>
    </font>
    <font>
      <name val="Arial"/>
      <b val="1"/>
      <color rgb="FF1F3864"/>
      <sz val="11"/>
    </font>
    <font>
      <name val="Arial"/>
      <b val="1"/>
      <color rgb="FFFFFFFF"/>
      <sz val="10"/>
    </font>
    <font>
      <name val="Arial"/>
      <b val="1"/>
      <sz val="10"/>
    </font>
    <font>
      <name val="Arial"/>
      <sz val="10"/>
    </font>
  </fonts>
  <fills count="7">
    <fill>
      <patternFill/>
    </fill>
    <fill>
      <patternFill patternType="gray125"/>
    </fill>
    <fill>
      <patternFill patternType="solid">
        <fgColor rgb="FF1F3864"/>
        <bgColor rgb="FF333333"/>
      </patternFill>
    </fill>
    <fill>
      <patternFill patternType="solid">
        <fgColor rgb="FF1F3864"/>
      </patternFill>
    </fill>
    <fill>
      <patternFill patternType="solid">
        <fgColor rgb="FF1F9D63"/>
      </patternFill>
    </fill>
    <fill>
      <patternFill patternType="solid">
        <fgColor rgb="FFD98A12"/>
      </patternFill>
    </fill>
    <fill>
      <patternFill patternType="solid">
        <fgColor rgb="FFC8463D"/>
      </patternFill>
    </fill>
  </fills>
  <borders count="10">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top/>
      <bottom/>
      <diagonal/>
    </border>
    <border>
      <left style="thin">
        <color rgb="FFBFBFBF"/>
      </left>
      <right style="thin">
        <color rgb="FFBFBFBF"/>
      </right>
      <top/>
      <bottom/>
      <diagonal/>
    </border>
    <border>
      <left style="thin">
        <color rgb="FFBFBFBF"/>
      </left>
      <right style="thin">
        <color rgb="FFBFBFBF"/>
      </right>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1">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left" vertical="top" wrapText="1"/>
    </xf>
    <xf numFmtId="0" fontId="8" fillId="0" borderId="1" applyAlignment="1" pivotButton="0" quotePrefix="0" xfId="0">
      <alignment horizontal="left" vertical="top" wrapText="1"/>
    </xf>
    <xf numFmtId="0" fontId="8" fillId="0" borderId="1" applyAlignment="1" pivotButton="0" quotePrefix="0" xfId="0">
      <alignment horizontal="center" vertical="top" wrapText="1"/>
    </xf>
    <xf numFmtId="0" fontId="6" fillId="2" borderId="1" applyAlignment="1" pivotButton="0" quotePrefix="0" xfId="0">
      <alignment horizontal="center" vertical="bottom"/>
    </xf>
    <xf numFmtId="0" fontId="8" fillId="0" borderId="1" applyAlignment="1" pivotButton="0" quotePrefix="0" xfId="0">
      <alignment horizontal="left" vertical="bottom"/>
    </xf>
    <xf numFmtId="0" fontId="8" fillId="0" borderId="1" applyAlignment="1" pivotButton="0" quotePrefix="0" xfId="0">
      <alignment horizontal="center" vertical="bottom"/>
    </xf>
    <xf numFmtId="0" fontId="7" fillId="0" borderId="1" applyAlignment="1" pivotButton="0" quotePrefix="0" xfId="0">
      <alignment horizontal="left" vertical="bottom"/>
    </xf>
    <xf numFmtId="0" fontId="7" fillId="0" borderId="1" applyAlignment="1" pivotButton="0" quotePrefix="0" xfId="0">
      <alignment horizontal="center" vertical="bottom"/>
    </xf>
    <xf numFmtId="0" fontId="7" fillId="0" borderId="0" applyAlignment="1" pivotButton="0" quotePrefix="0" xfId="0">
      <alignment horizontal="general" vertical="bottom"/>
    </xf>
    <xf numFmtId="0" fontId="6" fillId="2" borderId="1" applyAlignment="1" pivotButton="0" quotePrefix="0" xfId="0">
      <alignment horizontal="general" vertical="bottom"/>
    </xf>
    <xf numFmtId="0" fontId="7" fillId="0" borderId="1" applyAlignment="1" pivotButton="0" quotePrefix="0" xfId="0">
      <alignment horizontal="general" vertical="top" wrapText="1"/>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6" fillId="2" borderId="1" applyAlignment="1" pivotButton="0" quotePrefix="0" xfId="0">
      <alignment horizontal="center" vertical="bottom" wrapText="1"/>
    </xf>
    <xf numFmtId="0" fontId="8" fillId="0" borderId="0" applyAlignment="1" pivotButton="0" quotePrefix="0" xfId="0">
      <alignment horizontal="general" vertical="top" wrapText="1"/>
    </xf>
    <xf numFmtId="3" fontId="8" fillId="0" borderId="1" applyAlignment="1" pivotButton="0" quotePrefix="0" xfId="0">
      <alignment horizontal="general" vertical="top" wrapText="1"/>
    </xf>
    <xf numFmtId="0" fontId="7" fillId="0" borderId="0" applyAlignment="1" pivotButton="0" quotePrefix="0" xfId="0">
      <alignment horizontal="general" vertical="bottom"/>
    </xf>
    <xf numFmtId="3" fontId="7"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8" fillId="0" borderId="0" applyAlignment="1" pivotButton="0" quotePrefix="0" xfId="0">
      <alignment horizontal="general" vertical="top" wrapText="1"/>
    </xf>
    <xf numFmtId="164" fontId="8" fillId="0" borderId="1" applyAlignment="1" pivotButton="0" quotePrefix="0" xfId="0">
      <alignment horizontal="left" vertical="top"/>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left" vertical="top" wrapText="1"/>
    </xf>
    <xf numFmtId="0" fontId="8" fillId="0" borderId="1" applyAlignment="1" pivotButton="0" quotePrefix="0" xfId="0">
      <alignment horizontal="left" vertical="top" wrapText="1"/>
    </xf>
    <xf numFmtId="0" fontId="8" fillId="0" borderId="1" applyAlignment="1" pivotButton="0" quotePrefix="0" xfId="0">
      <alignment horizontal="center" vertical="top" wrapText="1"/>
    </xf>
    <xf numFmtId="0" fontId="6" fillId="2" borderId="1" applyAlignment="1" pivotButton="0" quotePrefix="0" xfId="0">
      <alignment horizontal="center" vertical="bottom"/>
    </xf>
    <xf numFmtId="0" fontId="8" fillId="0" borderId="1" applyAlignment="1" pivotButton="0" quotePrefix="0" xfId="0">
      <alignment horizontal="left" vertical="bottom"/>
    </xf>
    <xf numFmtId="0" fontId="8" fillId="0" borderId="1" applyAlignment="1" pivotButton="0" quotePrefix="0" xfId="0">
      <alignment horizontal="center" vertical="bottom"/>
    </xf>
    <xf numFmtId="0" fontId="7" fillId="0" borderId="1" applyAlignment="1" pivotButton="0" quotePrefix="0" xfId="0">
      <alignment horizontal="left" vertical="bottom"/>
    </xf>
    <xf numFmtId="0" fontId="7" fillId="0" borderId="1" applyAlignment="1" pivotButton="0" quotePrefix="0" xfId="0">
      <alignment horizontal="center" vertical="bottom"/>
    </xf>
    <xf numFmtId="0" fontId="7" fillId="0" borderId="0" applyAlignment="1" pivotButton="0" quotePrefix="0" xfId="0">
      <alignment horizontal="general" vertical="bottom"/>
    </xf>
    <xf numFmtId="0" fontId="6" fillId="2" borderId="1" applyAlignment="1" pivotButton="0" quotePrefix="0" xfId="0">
      <alignment horizontal="general" vertical="bottom"/>
    </xf>
    <xf numFmtId="0" fontId="7" fillId="0" borderId="1" applyAlignment="1" pivotButton="0" quotePrefix="0" xfId="0">
      <alignment horizontal="general" vertical="top" wrapText="1"/>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6" fillId="2" borderId="1" applyAlignment="1" pivotButton="0" quotePrefix="0" xfId="0">
      <alignment horizontal="center" vertical="bottom" wrapText="1"/>
    </xf>
    <xf numFmtId="0" fontId="8" fillId="0" borderId="0" applyAlignment="1" pivotButton="0" quotePrefix="0" xfId="0">
      <alignment horizontal="general" vertical="top" wrapText="1"/>
    </xf>
    <xf numFmtId="3" fontId="8" fillId="0" borderId="1" applyAlignment="1" pivotButton="0" quotePrefix="0" xfId="0">
      <alignment horizontal="general" vertical="top" wrapText="1"/>
    </xf>
    <xf numFmtId="3" fontId="7" fillId="0" borderId="0" applyAlignment="1" pivotButton="0" quotePrefix="0" xfId="0">
      <alignment horizontal="general" vertical="bottom"/>
    </xf>
    <xf numFmtId="0" fontId="9" fillId="0" borderId="0" applyAlignment="1" pivotButton="0" quotePrefix="0" xfId="0">
      <alignment horizontal="general" vertical="bottom"/>
    </xf>
    <xf numFmtId="0" fontId="11" fillId="0" borderId="0" pivotButton="0" quotePrefix="0" xfId="0"/>
    <xf numFmtId="0" fontId="12" fillId="0" borderId="0" pivotButton="0" quotePrefix="0" xfId="0"/>
    <xf numFmtId="0" fontId="13" fillId="0" borderId="0" pivotButton="0" quotePrefix="0" xfId="0"/>
    <xf numFmtId="0" fontId="14" fillId="3" borderId="2" applyAlignment="1" pivotButton="0" quotePrefix="0" xfId="0">
      <alignment vertical="top" wrapText="1"/>
    </xf>
    <xf numFmtId="0" fontId="0" fillId="0" borderId="5" pivotButton="0" quotePrefix="0" xfId="0"/>
    <xf numFmtId="0" fontId="0" fillId="0" borderId="6" pivotButton="0" quotePrefix="0" xfId="0"/>
    <xf numFmtId="0" fontId="15" fillId="0" borderId="2" applyAlignment="1" pivotButton="0" quotePrefix="0" xfId="0">
      <alignment vertical="top" wrapText="1"/>
    </xf>
    <xf numFmtId="0" fontId="16" fillId="0" borderId="2" applyAlignment="1" pivotButton="0" quotePrefix="0" xfId="0">
      <alignment vertical="top" wrapText="1"/>
    </xf>
    <xf numFmtId="2" fontId="15" fillId="0" borderId="2" applyAlignment="1" pivotButton="0" quotePrefix="0" xfId="0">
      <alignment vertical="top" wrapText="1"/>
    </xf>
    <xf numFmtId="2" fontId="16" fillId="0" borderId="2" applyAlignment="1" pivotButton="0" quotePrefix="0" xfId="0">
      <alignment vertical="top" wrapText="1"/>
    </xf>
    <xf numFmtId="9" fontId="16" fillId="0" borderId="2" applyAlignment="1" pivotButton="0" quotePrefix="0" xfId="0">
      <alignment vertical="top" wrapText="1"/>
    </xf>
    <xf numFmtId="165" fontId="16" fillId="0" borderId="2" applyAlignment="1" pivotButton="0" quotePrefix="0" xfId="0">
      <alignment vertical="top" wrapText="1"/>
    </xf>
    <xf numFmtId="0" fontId="0" fillId="0" borderId="8" pivotButton="0" quotePrefix="0" xfId="0"/>
    <xf numFmtId="0" fontId="0" fillId="0" borderId="9" pivotButton="0" quotePrefix="0" xfId="0"/>
    <xf numFmtId="0" fontId="14" fillId="4" borderId="2" applyAlignment="1" pivotButton="0" quotePrefix="0" xfId="0">
      <alignment vertical="top" wrapText="1"/>
    </xf>
    <xf numFmtId="0" fontId="14" fillId="5" borderId="2" applyAlignment="1" pivotButton="0" quotePrefix="0" xfId="0">
      <alignment vertical="top" wrapText="1"/>
    </xf>
    <xf numFmtId="0" fontId="14" fillId="6" borderId="2" applyAlignment="1" pivotButton="0" quotePrefix="0" xfId="0">
      <alignment vertical="top" wrapText="1"/>
    </xf>
    <xf numFmtId="0" fontId="10" fillId="0" borderId="0" applyAlignment="1" pivotButton="0" quotePrefix="0" xfId="0">
      <alignment horizontal="general" vertical="bottom"/>
    </xf>
    <xf numFmtId="0" fontId="8" fillId="0" borderId="1" applyAlignment="1" pivotButton="0" quotePrefix="0" xfId="0">
      <alignment horizontal="general" vertical="top" wrapText="1"/>
    </xf>
    <xf numFmtId="164" fontId="8" fillId="0" borderId="1" applyAlignment="1" pivotButton="0" quotePrefix="0" xfId="0">
      <alignment horizontal="left" vertical="top"/>
    </xf>
    <xf numFmtId="164" fontId="8" fillId="0" borderId="1" applyAlignment="1" pivotButton="0" quotePrefix="0" xfId="0">
      <alignment horizontal="left"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bgColor rgb="FFC6E0B4"/>
        </patternFill>
      </fill>
    </dxf>
    <dxf>
      <fill>
        <patternFill>
          <bgColor rgb="FFFFE699"/>
        </patternFill>
      </fill>
    </dxf>
    <dxf>
      <fill>
        <patternFill>
          <bgColor rgb="FFD9D9D9"/>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0B4"/>
      <rgbColor rgb="FFFFE6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M30"/>
  <sheetViews>
    <sheetView showFormulas="0" showGridLines="1" showRowColHeaders="1" showZeros="1" rightToLeft="0" tabSelected="1"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26" customWidth="1" style="27" min="1" max="1"/>
    <col width="18" customWidth="1" style="27" min="2" max="2"/>
    <col width="44" customWidth="1" style="27" min="3" max="3"/>
    <col width="14" customWidth="1" style="27" min="4" max="4"/>
    <col width="16" customWidth="1" style="27" min="5" max="5"/>
    <col width="26" customWidth="1" style="27" min="6" max="6"/>
    <col width="34" customWidth="1" style="27" min="7" max="7"/>
    <col width="16" customWidth="1" style="27" min="8" max="8"/>
    <col width="20" customWidth="1" style="27" min="9" max="9"/>
    <col width="13" customWidth="1" style="27" min="10" max="10"/>
    <col width="38" customWidth="1" style="27" min="11" max="11"/>
    <col width="34" customWidth="1" style="27" min="12" max="12"/>
    <col width="11" customWidth="1" style="27" min="13" max="13"/>
  </cols>
  <sheetData>
    <row r="1" ht="17.25" customHeight="1" s="28">
      <c r="A1" s="29" t="inlineStr">
        <is>
          <t>AuroraCast – Dictionnaire de données (activité aurorale et solaire)</t>
        </is>
      </c>
    </row>
    <row r="2" ht="15" customHeight="1" s="28">
      <c r="A2" s="30" t="inlineStr">
        <is>
          <t>Compétence visée : C1.2.1 (modèle de données) et C1.1.1 (stratégie de collecte). Les cellules « À vérifier » doivent être confirmées avant l'implémentation.</t>
        </is>
      </c>
    </row>
    <row r="4" ht="33.75" customHeight="1" s="28">
      <c r="A4" s="31" t="inlineStr">
        <is>
          <t>Variable</t>
        </is>
      </c>
      <c r="B4" s="31" t="inlineStr">
        <is>
          <t>Catégorie</t>
        </is>
      </c>
      <c r="C4" s="31" t="inlineStr">
        <is>
          <t>Définition</t>
        </is>
      </c>
      <c r="D4" s="31" t="inlineStr">
        <is>
          <t>Unité</t>
        </is>
      </c>
      <c r="E4" s="31" t="inlineStr">
        <is>
          <t>Résolution à la source</t>
        </is>
      </c>
      <c r="F4" s="31" t="inlineStr">
        <is>
          <t>Fréquence de collecte conseillée</t>
        </is>
      </c>
      <c r="G4" s="31" t="inlineStr">
        <is>
          <t>Source</t>
        </is>
      </c>
      <c r="H4" s="31" t="inlineStr">
        <is>
          <t>Méthode</t>
        </is>
      </c>
      <c r="I4" s="31" t="inlineStr">
        <is>
          <t>Horizon de prévision</t>
        </is>
      </c>
      <c r="J4" s="31" t="inlineStr">
        <is>
          <t>Priorité</t>
        </is>
      </c>
      <c r="K4" s="31" t="inlineStr">
        <is>
          <t>Utilité pour le projet</t>
        </is>
      </c>
      <c r="L4" s="31" t="inlineStr">
        <is>
          <t>Licence / CGU</t>
        </is>
      </c>
      <c r="M4" s="31" t="inlineStr">
        <is>
          <t>Statut</t>
        </is>
      </c>
    </row>
    <row r="5" ht="23.25" customHeight="1" s="28">
      <c r="A5" s="32" t="inlineStr">
        <is>
          <t>Kp observé</t>
        </is>
      </c>
      <c r="B5" s="33" t="inlineStr">
        <is>
          <t>Activité aurorale</t>
        </is>
      </c>
      <c r="C5" s="33" t="inlineStr">
        <is>
          <t>Indice planétaire d'activité géomagnétique, calculé à partir de magnétomètres au sol</t>
        </is>
      </c>
      <c r="D5" s="34" t="inlineStr">
        <is>
          <t>Sans unité (0 à 9)</t>
        </is>
      </c>
      <c r="E5" s="33" t="inlineStr">
        <is>
          <t>3 heures</t>
        </is>
      </c>
      <c r="F5" s="33" t="inlineStr">
        <is>
          <t>Toutes les 3 h (relevé horaire avec dédoublonnage)</t>
        </is>
      </c>
      <c r="G5" s="33" t="inlineStr">
        <is>
          <t>NOAA SWPC (JSON) ; historique : GFZ Potsdam (Kp_ap_Ap_SN_F107_since_1932.txt)</t>
        </is>
      </c>
      <c r="H5" s="33" t="inlineStr">
        <is>
          <t>API</t>
        </is>
      </c>
      <c r="I5" s="34" t="inlineStr">
        <is>
          <t>Court et moyen terme</t>
        </is>
      </c>
      <c r="J5" s="34" t="inlineStr">
        <is>
          <t>Essentielle</t>
        </is>
      </c>
      <c r="K5" s="33" t="inlineStr">
        <is>
          <t>Mesure principale d'activité ; variable cible ou référence</t>
        </is>
      </c>
      <c r="L5" s="33" t="inlineStr">
        <is>
          <t>NOAA : données publiques (à citer) ; GFZ : CC BY 4.0 (taches solaires : CC BY-NC 4.0)</t>
        </is>
      </c>
      <c r="M5" s="34" t="inlineStr">
        <is>
          <t>Collecté (NOAA toutes les 3 h ; historique GFZ depuis 1932)</t>
        </is>
      </c>
    </row>
    <row r="6" ht="23.25" customHeight="1" s="28">
      <c r="A6" s="32" t="inlineStr">
        <is>
          <t>Kp prévu (3 jours)</t>
        </is>
      </c>
      <c r="B6" s="33" t="inlineStr">
        <is>
          <t>Activité aurorale</t>
        </is>
      </c>
      <c r="C6" s="33" t="inlineStr">
        <is>
          <t>Prévision NOAA du Kp, par tranche de 3 h</t>
        </is>
      </c>
      <c r="D6" s="34" t="inlineStr">
        <is>
          <t>Sans unité (0 à 9)</t>
        </is>
      </c>
      <c r="E6" s="33" t="inlineStr">
        <is>
          <t>3 heures</t>
        </is>
      </c>
      <c r="F6" s="33" t="inlineStr">
        <is>
          <t>1 à 2 fois par jour ; conserver la date d'émission</t>
        </is>
      </c>
      <c r="G6" s="33" t="inlineStr">
        <is>
          <t>NOAA SWPC (JSON/texte)</t>
        </is>
      </c>
      <c r="H6" s="33" t="inlineStr">
        <is>
          <t>API + scraping du texte</t>
        </is>
      </c>
      <c r="I6" s="34" t="inlineStr">
        <is>
          <t>Moyen terme (1 à 3 jours)</t>
        </is>
      </c>
      <c r="J6" s="34" t="inlineStr">
        <is>
          <t>Essentielle</t>
        </is>
      </c>
      <c r="K6" s="33" t="inlineStr">
        <is>
          <t>Comparer prévu vs observé (monitoring, bloc 5)</t>
        </is>
      </c>
      <c r="L6" s="33" t="inlineStr">
        <is>
          <t>NOAA : données publiques (à citer)</t>
        </is>
      </c>
      <c r="M6" s="34" t="inlineStr">
        <is>
          <t>Collecté (NOAA toutes les 3 h, avec date d'émission)</t>
        </is>
      </c>
    </row>
    <row r="7" ht="34.5" customHeight="1" s="28">
      <c r="A7" s="32" t="inlineStr">
        <is>
          <t>Bz (IMF)</t>
        </is>
      </c>
      <c r="B7" s="33" t="inlineStr">
        <is>
          <t>Activité aurorale</t>
        </is>
      </c>
      <c r="C7" s="33" t="inlineStr">
        <is>
          <t>Composante nord-sud du champ magnétique interplanétaire ; négatif = énergie qui entre dans la magnétosphère</t>
        </is>
      </c>
      <c r="D7" s="34" t="inlineStr">
        <is>
          <t>nT</t>
        </is>
      </c>
      <c r="E7" s="33" t="inlineStr">
        <is>
          <t>Minute</t>
        </is>
      </c>
      <c r="F7" s="33" t="inlineStr">
        <is>
          <t>Toutes les 3 h (le flux garde environ 20 h) ; agrégé par heure : moyenne et minimum</t>
        </is>
      </c>
      <c r="G7" s="33" t="inlineStr">
        <is>
          <t>NOAA SWPC (JSON temps réel RTSW, /json/rtsw/rtsw_mag_1m.json)</t>
        </is>
      </c>
      <c r="H7" s="33" t="inlineStr">
        <is>
          <t>API</t>
        </is>
      </c>
      <c r="I7" s="34" t="inlineStr">
        <is>
          <t>Court terme (30 à 60 min)</t>
        </is>
      </c>
      <c r="J7" s="34" t="inlineStr">
        <is>
          <t>Essentielle</t>
        </is>
      </c>
      <c r="K7" s="33" t="inlineStr">
        <is>
          <t>Meilleur indicateur d'une aurore imminente</t>
        </is>
      </c>
      <c r="L7" s="33" t="inlineStr">
        <is>
          <t>NOAA : données publiques (à citer)</t>
        </is>
      </c>
      <c r="M7" s="34" t="inlineStr">
        <is>
          <t>Collecté (NOAA RTSW toutes les 3 h ; historique OMNIWeb depuis 2010)</t>
        </is>
      </c>
    </row>
    <row r="8" ht="15" customHeight="1" s="28">
      <c r="A8" s="32" t="inlineStr">
        <is>
          <t>Bt (IMF)</t>
        </is>
      </c>
      <c r="B8" s="33" t="inlineStr">
        <is>
          <t>Activité aurorale</t>
        </is>
      </c>
      <c r="C8" s="33" t="inlineStr">
        <is>
          <t>Intensité totale du champ magnétique interplanétaire</t>
        </is>
      </c>
      <c r="D8" s="34" t="inlineStr">
        <is>
          <t>nT</t>
        </is>
      </c>
      <c r="E8" s="33" t="inlineStr">
        <is>
          <t>Minute</t>
        </is>
      </c>
      <c r="F8" s="33" t="inlineStr">
        <is>
          <t>1 fois par heure : moyenne</t>
        </is>
      </c>
      <c r="G8" s="33" t="inlineStr">
        <is>
          <t>NOAA SWPC (JSON temps réel RTSW, /json/rtsw/rtsw_mag_1m.json)</t>
        </is>
      </c>
      <c r="H8" s="33" t="inlineStr">
        <is>
          <t>API</t>
        </is>
      </c>
      <c r="I8" s="34" t="inlineStr">
        <is>
          <t>Court terme</t>
        </is>
      </c>
      <c r="J8" s="34" t="inlineStr">
        <is>
          <t>Utile</t>
        </is>
      </c>
      <c r="K8" s="33" t="inlineStr">
        <is>
          <t>Complète Bz</t>
        </is>
      </c>
      <c r="L8" s="33" t="inlineStr">
        <is>
          <t>NOAA : données publiques (à citer)</t>
        </is>
      </c>
      <c r="M8" s="34" t="inlineStr">
        <is>
          <t>Collecté (NOAA RTSW toutes les 3 h ; historique OMNIWeb depuis 2010)</t>
        </is>
      </c>
    </row>
    <row r="9" ht="23.25" customHeight="1" s="28">
      <c r="A9" s="32" t="inlineStr">
        <is>
          <t>Direction IMF (Bx, By)</t>
        </is>
      </c>
      <c r="B9" s="33" t="inlineStr">
        <is>
          <t>Activité aurorale</t>
        </is>
      </c>
      <c r="C9" s="33" t="inlineStr">
        <is>
          <t>Orientation du champ interplanétaire ; le signe de Bz est ce qui compte le plus</t>
        </is>
      </c>
      <c r="D9" s="34" t="inlineStr">
        <is>
          <t>nT / degrés</t>
        </is>
      </c>
      <c r="E9" s="33" t="inlineStr">
        <is>
          <t>Minute</t>
        </is>
      </c>
      <c r="F9" s="33" t="inlineStr">
        <is>
          <t>1 fois par heure (optionnel)</t>
        </is>
      </c>
      <c r="G9" s="33" t="inlineStr">
        <is>
          <t>NOAA SWPC (JSON temps réel RTSW, /json/rtsw/rtsw_mag_1m.json)</t>
        </is>
      </c>
      <c r="H9" s="33" t="inlineStr">
        <is>
          <t>API</t>
        </is>
      </c>
      <c r="I9" s="34" t="inlineStr">
        <is>
          <t>Court terme</t>
        </is>
      </c>
      <c r="J9" s="34" t="inlineStr">
        <is>
          <t>Optionnelle</t>
        </is>
      </c>
      <c r="K9" s="33" t="inlineStr">
        <is>
          <t>Peu utile au début ; à tester en sélection de variables</t>
        </is>
      </c>
      <c r="L9" s="33" t="inlineStr">
        <is>
          <t>NOAA : données publiques (à citer)</t>
        </is>
      </c>
      <c r="M9" s="34" t="inlineStr">
        <is>
          <t>Collecté (NOAA RTSW ; By GSM dans OMNIWeb)</t>
        </is>
      </c>
    </row>
    <row r="10" ht="23.25" customHeight="1" s="28">
      <c r="A10" s="32" t="inlineStr">
        <is>
          <t>Vitesse du vent solaire</t>
        </is>
      </c>
      <c r="B10" s="33" t="inlineStr">
        <is>
          <t>Activité aurorale</t>
        </is>
      </c>
      <c r="C10" s="33" t="inlineStr">
        <is>
          <t>Vitesse des particules du vent solaire</t>
        </is>
      </c>
      <c r="D10" s="34" t="inlineStr">
        <is>
          <t>km/s</t>
        </is>
      </c>
      <c r="E10" s="33" t="inlineStr">
        <is>
          <t>Minute</t>
        </is>
      </c>
      <c r="F10" s="33" t="inlineStr">
        <is>
          <t>1 fois par heure : moyenne et maximum</t>
        </is>
      </c>
      <c r="G10" s="33" t="inlineStr">
        <is>
          <t>NOAA SWPC (JSON temps réel RTSW, /json/rtsw/rtsw_wind_1m.json)</t>
        </is>
      </c>
      <c r="H10" s="33" t="inlineStr">
        <is>
          <t>API</t>
        </is>
      </c>
      <c r="I10" s="34" t="inlineStr">
        <is>
          <t>Court terme</t>
        </is>
      </c>
      <c r="J10" s="34" t="inlineStr">
        <is>
          <t>Essentielle</t>
        </is>
      </c>
      <c r="K10" s="33" t="inlineStr">
        <is>
          <t>Plus le vent est rapide, plus l'effet est fort</t>
        </is>
      </c>
      <c r="L10" s="33" t="inlineStr">
        <is>
          <t>NOAA : données publiques (à citer)</t>
        </is>
      </c>
      <c r="M10" s="34" t="inlineStr">
        <is>
          <t>Collecté (NOAA RTSW toutes les 3 h ; historique OMNIWeb depuis 2010)</t>
        </is>
      </c>
    </row>
    <row r="11" ht="15" customHeight="1" s="28">
      <c r="A11" s="32" t="inlineStr">
        <is>
          <t>Densité du vent solaire</t>
        </is>
      </c>
      <c r="B11" s="33" t="inlineStr">
        <is>
          <t>Activité aurorale</t>
        </is>
      </c>
      <c r="C11" s="33" t="inlineStr">
        <is>
          <t>Densité de particules du vent solaire</t>
        </is>
      </c>
      <c r="D11" s="34" t="inlineStr">
        <is>
          <t>p/cm³</t>
        </is>
      </c>
      <c r="E11" s="33" t="inlineStr">
        <is>
          <t>Minute</t>
        </is>
      </c>
      <c r="F11" s="33" t="inlineStr">
        <is>
          <t>1 fois par heure : moyenne</t>
        </is>
      </c>
      <c r="G11" s="33" t="inlineStr">
        <is>
          <t>NOAA SWPC (JSON temps réel RTSW, /json/rtsw/rtsw_wind_1m.json)</t>
        </is>
      </c>
      <c r="H11" s="33" t="inlineStr">
        <is>
          <t>API</t>
        </is>
      </c>
      <c r="I11" s="34" t="inlineStr">
        <is>
          <t>Court terme</t>
        </is>
      </c>
      <c r="J11" s="34" t="inlineStr">
        <is>
          <t>Essentielle</t>
        </is>
      </c>
      <c r="K11" s="33" t="inlineStr">
        <is>
          <t>Amplifie l'effet de la vitesse</t>
        </is>
      </c>
      <c r="L11" s="33" t="inlineStr">
        <is>
          <t>NOAA : données publiques (à citer)</t>
        </is>
      </c>
      <c r="M11" s="34" t="inlineStr">
        <is>
          <t>Collecté (NOAA RTSW toutes les 3 h ; historique OMNIWeb depuis 2010)</t>
        </is>
      </c>
    </row>
    <row r="12" ht="15" customHeight="1" s="28">
      <c r="A12" s="32" t="inlineStr">
        <is>
          <t>Échelle de tempête G1 à G5</t>
        </is>
      </c>
      <c r="B12" s="33" t="inlineStr">
        <is>
          <t>Activité aurorale</t>
        </is>
      </c>
      <c r="C12" s="33" t="inlineStr">
        <is>
          <t>Niveau de tempête géomagnétique dérivé du Kp</t>
        </is>
      </c>
      <c r="D12" s="34" t="inlineStr">
        <is>
          <t>Niveau 0 à 5</t>
        </is>
      </c>
      <c r="E12" s="33" t="inlineStr">
        <is>
          <t>Variable</t>
        </is>
      </c>
      <c r="F12" s="33" t="inlineStr">
        <is>
          <t>Toutes les 3 h</t>
        </is>
      </c>
      <c r="G12" s="33" t="inlineStr">
        <is>
          <t>NOAA SWPC (JSON, noaa-scales)</t>
        </is>
      </c>
      <c r="H12" s="33" t="inlineStr">
        <is>
          <t>API</t>
        </is>
      </c>
      <c r="I12" s="34" t="inlineStr">
        <is>
          <t>Court et moyen terme</t>
        </is>
      </c>
      <c r="J12" s="34" t="inlineStr">
        <is>
          <t>Utile</t>
        </is>
      </c>
      <c r="K12" s="33" t="inlineStr">
        <is>
          <t>Étiquette lisible pour les agences et les alertes</t>
        </is>
      </c>
      <c r="L12" s="33" t="inlineStr">
        <is>
          <t>NOAA : données publiques (à citer)</t>
        </is>
      </c>
      <c r="M12" s="34" t="inlineStr">
        <is>
          <t>Collecté (NOAA toutes les 3 h)</t>
        </is>
      </c>
    </row>
    <row r="13" ht="23.25" customHeight="1" s="28">
      <c r="A13" s="32" t="inlineStr">
        <is>
          <t>Alertes et avertissements</t>
        </is>
      </c>
      <c r="B13" s="33" t="inlineStr">
        <is>
          <t>Activité aurorale</t>
        </is>
      </c>
      <c r="C13" s="33" t="inlineStr">
        <is>
          <t>Alertes, veilles et avertissements émis par NOAA (ex : Kp 5 attendu)</t>
        </is>
      </c>
      <c r="D13" s="34" t="inlineStr">
        <is>
          <t>Texte</t>
        </is>
      </c>
      <c r="E13" s="33" t="inlineStr">
        <is>
          <t>Événementielle</t>
        </is>
      </c>
      <c r="F13" s="33" t="inlineStr">
        <is>
          <t>Toutes les 3 h (le flux NOAA garde 30 jours)</t>
        </is>
      </c>
      <c r="G13" s="33" t="inlineStr">
        <is>
          <t>NOAA SWPC (JSON, alerts)</t>
        </is>
      </c>
      <c r="H13" s="33" t="inlineStr">
        <is>
          <t>API</t>
        </is>
      </c>
      <c r="I13" s="34" t="inlineStr">
        <is>
          <t>Court terme</t>
        </is>
      </c>
      <c r="J13" s="34" t="inlineStr">
        <is>
          <t>Utile</t>
        </is>
      </c>
      <c r="K13" s="33" t="inlineStr">
        <is>
          <t>Historiser les événements et déclencher des alertes</t>
        </is>
      </c>
      <c r="L13" s="33" t="inlineStr">
        <is>
          <t>NOAA : données publiques (à citer)</t>
        </is>
      </c>
      <c r="M13" s="34" t="inlineStr">
        <is>
          <t>Collecté (NOAA toutes les 3 h)</t>
        </is>
      </c>
    </row>
    <row r="14" ht="23.25" customHeight="1" s="28">
      <c r="A14" s="32" t="inlineStr">
        <is>
          <t>Magnétomètre (brut)</t>
        </is>
      </c>
      <c r="B14" s="33" t="inlineStr">
        <is>
          <t>Activité aurorale</t>
        </is>
      </c>
      <c r="C14" s="33" t="inlineStr">
        <is>
          <t>Mesures brutes des variations du champ magnétique (sol ou satellite)</t>
        </is>
      </c>
      <c r="D14" s="34" t="inlineStr">
        <is>
          <t>nT</t>
        </is>
      </c>
      <c r="E14" s="33" t="inlineStr">
        <is>
          <t>Variable</t>
        </is>
      </c>
      <c r="F14" s="33" t="inlineStr">
        <is>
          <t>Non collecté</t>
        </is>
      </c>
      <c r="G14" s="33" t="inlineStr">
        <is>
          <t>À déterminer</t>
        </is>
      </c>
      <c r="H14" s="33" t="inlineStr">
        <is>
          <t>—</t>
        </is>
      </c>
      <c r="I14" s="34" t="inlineStr">
        <is>
          <t>—</t>
        </is>
      </c>
      <c r="J14" s="34" t="inlineStr">
        <is>
          <t>À écarter</t>
        </is>
      </c>
      <c r="K14" s="33" t="inlineStr">
        <is>
          <t>Redondant avec le Kp, qui en est dérivé</t>
        </is>
      </c>
      <c r="L14" s="33" t="inlineStr">
        <is>
          <t>—</t>
        </is>
      </c>
      <c r="M14" s="34" t="inlineStr">
        <is>
          <t>À faire</t>
        </is>
      </c>
    </row>
    <row r="15" ht="23.25" customHeight="1" s="28">
      <c r="A15" s="32" t="inlineStr">
        <is>
          <t>Phase de la Lune</t>
        </is>
      </c>
      <c r="B15" s="33" t="inlineStr">
        <is>
          <t>Calculée</t>
        </is>
      </c>
      <c r="C15" s="33" t="inlineStr">
        <is>
          <t>Hauteur de la Lune au-dessus de l'horizon et part du disque éclairé ; une Lune haute et pleine efface les aurores faibles</t>
        </is>
      </c>
      <c r="D15" s="34" t="inlineStr">
        <is>
          <t>degrés / % (0 à 100)</t>
        </is>
      </c>
      <c r="E15" s="33" t="inlineStr">
        <is>
          <t>Horaire (calcul)</t>
        </is>
      </c>
      <c r="F15" s="33" t="inlineStr">
        <is>
          <t>Recalculée à chaque transformation (2010 → J+10)</t>
        </is>
      </c>
      <c r="G15" s="33" t="inlineStr">
        <is>
          <t>PyEphem 4.2 (licence MIT, éphémérides intégrées, aucun téléchargement)</t>
        </is>
      </c>
      <c r="H15" s="33" t="inlineStr">
        <is>
          <t>Calcul local</t>
        </is>
      </c>
      <c r="I15" s="34" t="inlineStr">
        <is>
          <t>—</t>
        </is>
      </c>
      <c r="J15" s="34" t="inlineStr">
        <is>
          <t>Utile</t>
        </is>
      </c>
      <c r="K15" s="33" t="inlineStr">
        <is>
          <t>N'influence pas l'aurore mais la visibilité</t>
        </is>
      </c>
      <c r="L15" s="33" t="inlineStr">
        <is>
          <t>Sans objet (calcul) ; PyEphem sous licence MIT</t>
        </is>
      </c>
      <c r="M15" s="34" t="inlineStr">
        <is>
          <t>Calculé (astronomy_hourly : moon_alt_deg, moon_illum_pct, moon_up)</t>
        </is>
      </c>
    </row>
    <row r="16" ht="15" customHeight="1" s="28">
      <c r="A16" s="32" t="inlineStr">
        <is>
          <t>Nuit noire et hauteur du Soleil</t>
        </is>
      </c>
      <c r="B16" s="33" t="inlineStr">
        <is>
          <t>Calculée</t>
        </is>
      </c>
      <c r="C16" s="33" t="inlineStr">
        <is>
          <t>Hauteur géométrique du Soleil et phase de la nuit : jour, crépuscule civil (jusqu'à -6°), nautique (-12°), astronomique (-18°), nuit ; nuit polaire et soleil de minuit</t>
        </is>
      </c>
      <c r="D16" s="34" t="inlineStr">
        <is>
          <t>degrés / catégorie</t>
        </is>
      </c>
      <c r="E16" s="33" t="inlineStr">
        <is>
          <t>Horaire (calcul)</t>
        </is>
      </c>
      <c r="F16" s="33" t="inlineStr">
        <is>
          <t>Recalculée à chaque transformation (2010 → J+10)</t>
        </is>
      </c>
      <c r="G16" s="33" t="inlineStr">
        <is>
          <t>PyEphem 4.2 (licence MIT) ; vérifié contre sunrise-sunset.org (Tromsø, 29/10/2026 : écart &lt; 5 s)</t>
        </is>
      </c>
      <c r="H16" s="33" t="inlineStr">
        <is>
          <t>Calcul local</t>
        </is>
      </c>
      <c r="I16" s="34" t="inlineStr">
        <is>
          <t>—</t>
        </is>
      </c>
      <c r="J16" s="34" t="inlineStr">
        <is>
          <t>Essentielle</t>
        </is>
      </c>
      <c r="K16" s="33" t="inlineStr">
        <is>
          <t>Condition de visibilité de l'aurore</t>
        </is>
      </c>
      <c r="L16" s="33" t="inlineStr">
        <is>
          <t>Sans objet (calcul) ; PyEphem sous licence MIT</t>
        </is>
      </c>
      <c r="M16" s="34" t="inlineStr">
        <is>
          <t>Calculé (astronomy_hourly : sun_alt_deg, night_phase, polar_night, midnight_sun)</t>
        </is>
      </c>
    </row>
    <row r="17" ht="23.25" customHeight="1" s="28">
      <c r="A17" s="32" t="inlineStr">
        <is>
          <t>Nébulosité</t>
        </is>
      </c>
      <c r="B17" s="33" t="inlineStr">
        <is>
          <t>Météo</t>
        </is>
      </c>
      <c r="C17" s="33" t="inlineStr">
        <is>
          <t>Part du ciel couverte par les nuages</t>
        </is>
      </c>
      <c r="D17" s="34" t="inlineStr">
        <is>
          <t>%</t>
        </is>
      </c>
      <c r="E17" s="33" t="inlineStr">
        <is>
          <t>Horaire</t>
        </is>
      </c>
      <c r="F17" s="33" t="inlineStr">
        <is>
          <t>Observé : chaque jour (GHCNh) ; prévu : toutes les 3 h (MET Norway)</t>
        </is>
      </c>
      <c r="G17" s="33" t="inlineStr">
        <is>
          <t>Observé : NOAA GHCNh (stations TROMSO, aéroport de Kiruna, gare de Rovaniemi) ; prévu : MET Norway Locationforecast 2.0 (nébulosité totale et par étage) ; Open-Meteo écarté (robots.txt, INC-002)</t>
        </is>
      </c>
      <c r="H17" s="33" t="inlineStr">
        <is>
          <t>API (fichiers GHCNh + API MET Norway)</t>
        </is>
      </c>
      <c r="I17" s="34" t="inlineStr">
        <is>
          <t>Court et moyen terme</t>
        </is>
      </c>
      <c r="J17" s="34" t="inlineStr">
        <is>
          <t>Essentielle</t>
        </is>
      </c>
      <c r="K17" s="33" t="inlineStr">
        <is>
          <t>Un ciel couvert empêche de voir l'aurore</t>
        </is>
      </c>
      <c r="L17" s="33" t="inlineStr">
        <is>
          <t>NOAA GHCNh : CC0 (DOI 10.25921/jp3d-3v19) ; MET Norway : CC BY 4.0 (citer MET Norway)</t>
        </is>
      </c>
      <c r="M17" s="34" t="inlineStr">
        <is>
          <t>Observé collecté et nettoyé (cloud_hourly, 2010 → J-3) ; prévu collecté toutes les 3 h (weather_forecast)</t>
        </is>
      </c>
    </row>
    <row r="18" ht="23.25" customHeight="1" s="28">
      <c r="A18" s="32" t="inlineStr">
        <is>
          <t>Régions de taches solaires</t>
        </is>
      </c>
      <c r="B18" s="33" t="inlineStr">
        <is>
          <t>Activité solaire</t>
        </is>
      </c>
      <c r="C18" s="33" t="inlineStr">
        <is>
          <t>Taches actives et probabilités d'éruptions C/M/X</t>
        </is>
      </c>
      <c r="D18" s="34" t="inlineStr">
        <is>
          <t>Probabilité (%)</t>
        </is>
      </c>
      <c r="E18" s="33" t="inlineStr">
        <is>
          <t>Journalière</t>
        </is>
      </c>
      <c r="F18" s="33" t="inlineStr">
        <is>
          <t>1 fois par jour</t>
        </is>
      </c>
      <c r="G18" s="33" t="inlineStr">
        <is>
          <t>NOAA SWPC (JSON) ; SpaceWeatherLive (si CGU OK)</t>
        </is>
      </c>
      <c r="H18" s="33" t="inlineStr">
        <is>
          <t>API / scraping</t>
        </is>
      </c>
      <c r="I18" s="34" t="inlineStr">
        <is>
          <t>Moyen terme (1 à 3 jours)</t>
        </is>
      </c>
      <c r="J18" s="34" t="inlineStr">
        <is>
          <t>Utile</t>
        </is>
      </c>
      <c r="K18" s="33" t="inlineStr">
        <is>
          <t>Les éruptions mettent 1 à 3 jours à avoir un effet</t>
        </is>
      </c>
      <c r="L18" s="33" t="inlineStr">
        <is>
          <t>NOAA : publiques ; SpaceWeatherLive : à vérifier (robots.txt OK, CGU à lire)</t>
        </is>
      </c>
      <c r="M18" s="34" t="inlineStr">
        <is>
          <t>À faire</t>
        </is>
      </c>
    </row>
    <row r="19" ht="23.25" customHeight="1" s="28">
      <c r="A19" s="32" t="inlineStr">
        <is>
          <t>Activité solaire dernière heure (rayons X)</t>
        </is>
      </c>
      <c r="B19" s="33" t="inlineStr">
        <is>
          <t>Activité solaire</t>
        </is>
      </c>
      <c r="C19" s="33" t="inlineStr">
        <is>
          <t>Flux de rayons X, classe d'éruption (A, B, C, M, X)</t>
        </is>
      </c>
      <c r="D19" s="34" t="inlineStr">
        <is>
          <t>W/m² / classe</t>
        </is>
      </c>
      <c r="E19" s="33" t="inlineStr">
        <is>
          <t>Minute</t>
        </is>
      </c>
      <c r="F19" s="33" t="inlineStr">
        <is>
          <t>Toutes les 3 h</t>
        </is>
      </c>
      <c r="G19" s="33" t="inlineStr">
        <is>
          <t>NOAA SWPC (JSON GOES) ; SpaceWeatherLive</t>
        </is>
      </c>
      <c r="H19" s="33" t="inlineStr">
        <is>
          <t>API / scraping</t>
        </is>
      </c>
      <c r="I19" s="34" t="inlineStr">
        <is>
          <t>Court terme</t>
        </is>
      </c>
      <c r="J19" s="34" t="inlineStr">
        <is>
          <t>Utile</t>
        </is>
      </c>
      <c r="K19" s="33" t="inlineStr">
        <is>
          <t>Détecte les éruptions en cours</t>
        </is>
      </c>
      <c r="L19" s="33" t="inlineStr">
        <is>
          <t>NOAA : données publiques (à citer)</t>
        </is>
      </c>
      <c r="M19" s="34" t="inlineStr">
        <is>
          <t>À faire</t>
        </is>
      </c>
    </row>
    <row r="20" ht="23.25" customHeight="1" s="28">
      <c r="A20" s="32" t="inlineStr">
        <is>
          <t>Protons de haute énergie</t>
        </is>
      </c>
      <c r="B20" s="33" t="inlineStr">
        <is>
          <t>Activité solaire</t>
        </is>
      </c>
      <c r="C20" s="33" t="inlineStr">
        <is>
          <t>Flux de protons énergétiques (échelle S)</t>
        </is>
      </c>
      <c r="D20" s="34" t="inlineStr">
        <is>
          <t>pfu</t>
        </is>
      </c>
      <c r="E20" s="33" t="inlineStr">
        <is>
          <t>Minute</t>
        </is>
      </c>
      <c r="F20" s="33" t="inlineStr">
        <is>
          <t>1 fois par jour (optionnel)</t>
        </is>
      </c>
      <c r="G20" s="33" t="inlineStr">
        <is>
          <t>NOAA SWPC (à vérifier) ; SpaceWeatherLive</t>
        </is>
      </c>
      <c r="H20" s="33" t="inlineStr">
        <is>
          <t>API / scraping</t>
        </is>
      </c>
      <c r="I20" s="34" t="inlineStr">
        <is>
          <t>Court terme</t>
        </is>
      </c>
      <c r="J20" s="34" t="inlineStr">
        <is>
          <t>Optionnelle</t>
        </is>
      </c>
      <c r="K20" s="33" t="inlineStr">
        <is>
          <t>Lien faible avec la visibilité des aurores</t>
        </is>
      </c>
      <c r="L20" s="33" t="inlineStr">
        <is>
          <t>À vérifier</t>
        </is>
      </c>
      <c r="M20" s="34" t="inlineStr">
        <is>
          <t>À faire</t>
        </is>
      </c>
    </row>
    <row r="21" ht="23.25" customHeight="1" s="28">
      <c r="A21" s="32" t="inlineStr">
        <is>
          <t>Texte de prévision (3 jours)</t>
        </is>
      </c>
      <c r="B21" s="33" t="inlineStr">
        <is>
          <t>Activité solaire</t>
        </is>
      </c>
      <c r="C21" s="33" t="inlineStr">
        <is>
          <t>Prévision rédigée par les prévisionnistes NOAA</t>
        </is>
      </c>
      <c r="D21" s="34" t="inlineStr">
        <is>
          <t>Texte</t>
        </is>
      </c>
      <c r="E21" s="33" t="inlineStr">
        <is>
          <t>Quotidienne</t>
        </is>
      </c>
      <c r="F21" s="33" t="inlineStr">
        <is>
          <t>1 à 2 fois par jour</t>
        </is>
      </c>
      <c r="G21" s="33" t="inlineStr">
        <is>
          <t>NOAA SWPC (/text/3-day-forecast.txt)</t>
        </is>
      </c>
      <c r="H21" s="33" t="inlineStr">
        <is>
          <t>Scraping de texte</t>
        </is>
      </c>
      <c r="I21" s="34" t="inlineStr">
        <is>
          <t>Moyen terme</t>
        </is>
      </c>
      <c r="J21" s="34" t="inlineStr">
        <is>
          <t>Utile</t>
        </is>
      </c>
      <c r="K21" s="33" t="inlineStr">
        <is>
          <t>Illustre le scraping de données non structurées (C1.1.2)</t>
        </is>
      </c>
      <c r="L21" s="33" t="inlineStr">
        <is>
          <t>NOAA : données publiques (à citer)</t>
        </is>
      </c>
      <c r="M21" s="34" t="inlineStr">
        <is>
          <t>Collecté (NOAA toutes les 3 h), parsing à faire</t>
        </is>
      </c>
    </row>
    <row r="22" ht="23.25" customHeight="1" s="28">
      <c r="A22" s="32" t="inlineStr">
        <is>
          <t>Température (moyenne, min, max)</t>
        </is>
      </c>
      <c r="B22" s="33" t="inlineStr">
        <is>
          <t>Météo</t>
        </is>
      </c>
      <c r="C22" s="33" t="inlineStr">
        <is>
          <t>Température de l'air du jour, convertie de °F en °C</t>
        </is>
      </c>
      <c r="D22" s="34" t="inlineStr">
        <is>
          <t>°C</t>
        </is>
      </c>
      <c r="E22" s="33" t="inlineStr">
        <is>
          <t>Horaire (GHCNh) ; journalière (GSOD)</t>
        </is>
      </c>
      <c r="F22" s="33" t="inlineStr">
        <is>
          <t>GSOD : une fois (base figée) ; GHCNh : chaque jour, lignes nouvelles seulement</t>
        </is>
      </c>
      <c r="G22" s="33" t="inlineStr">
        <is>
          <t>NOAA NCEI GSOD par SQL (BigQuery bigquery-public-data.noaa_gsod, 2010 → 24/08/2025) ; NOAA GHCNh horaire, mêmes stations (TROMSO, aéroport de Kiruna, gare de Rovaniemi), 2010 → hier</t>
        </is>
      </c>
      <c r="H22" s="33" t="inlineStr">
        <is>
          <t>Requêtes SQL (BigQuery) + API (fichiers GHCNh)</t>
        </is>
      </c>
      <c r="I22" s="34" t="inlineStr">
        <is>
          <t>Court et moyen terme</t>
        </is>
      </c>
      <c r="J22" s="34" t="inlineStr">
        <is>
          <t>Utile</t>
        </is>
      </c>
      <c r="K22" s="33" t="inlineStr">
        <is>
          <t>Contexte saisonnier ; froid sec souvent associé à un ciel dégagé</t>
        </is>
      </c>
      <c r="L22" s="33" t="inlineStr">
        <is>
          <t>NOAA NCEI GSOD : données publiques, sans garantie (citer NCEI) ; NOAA GHCNh : CC0 (DOI 10.25921/jp3d-3v19) ; requêtes BigQuery gratuites jusqu'à 1 To par mois</t>
        </is>
      </c>
      <c r="M22" s="34" t="inlineStr">
        <is>
          <t>Collecté et nettoyé : GSOD (weather_daily) et GHCNh (weather_hourly, mis à jour chaque jour) ; contrôle croisé de la température : écart moyen 0,03 à 0,09 °C ; prévisions collectées (MET Norway, weather_forecast)</t>
        </is>
      </c>
    </row>
    <row r="23" ht="23.25" customHeight="1" s="28">
      <c r="A23" s="32" t="inlineStr">
        <is>
          <t>Point de rosée et humidité relative</t>
        </is>
      </c>
      <c r="B23" s="33" t="inlineStr">
        <is>
          <t>Météo</t>
        </is>
      </c>
      <c r="C23" s="33" t="inlineStr">
        <is>
          <t>Point de rosée mesuré ; humidité relative calculée (formule de Magnus, à partir des moyennes du jour)</t>
        </is>
      </c>
      <c r="D23" s="34" t="inlineStr">
        <is>
          <t>°C / %</t>
        </is>
      </c>
      <c r="E23" s="33" t="inlineStr">
        <is>
          <t>Horaire (GHCNh) ; journalière (GSOD)</t>
        </is>
      </c>
      <c r="F23" s="33" t="inlineStr">
        <is>
          <t>GSOD : une fois (base figée) ; GHCNh : chaque jour, lignes nouvelles seulement</t>
        </is>
      </c>
      <c r="G23" s="33" t="inlineStr">
        <is>
          <t>NOAA NCEI GSOD par SQL (BigQuery bigquery-public-data.noaa_gsod, 2010 → 24/08/2025) ; NOAA GHCNh horaire, mêmes stations (TROMSO, aéroport de Kiruna, gare de Rovaniemi), 2010 → hier</t>
        </is>
      </c>
      <c r="H23" s="33" t="inlineStr">
        <is>
          <t>Requêtes SQL (BigQuery) + API (fichiers GHCNh)</t>
        </is>
      </c>
      <c r="I23" s="34" t="inlineStr">
        <is>
          <t>Court terme</t>
        </is>
      </c>
      <c r="J23" s="34" t="inlineStr">
        <is>
          <t>Utile</t>
        </is>
      </c>
      <c r="K23" s="33" t="inlineStr">
        <is>
          <t>Risque de brouillard et de givre</t>
        </is>
      </c>
      <c r="L23" s="33" t="inlineStr">
        <is>
          <t>NOAA NCEI GSOD : données publiques, sans garantie (citer NCEI) ; NOAA GHCNh : CC0 (DOI 10.25921/jp3d-3v19) ; requêtes BigQuery gratuites jusqu'à 1 To par mois</t>
        </is>
      </c>
      <c r="M23" s="34" t="inlineStr">
        <is>
          <t>Collecté et nettoyé : GSOD (weather_daily) et GHCNh (weather_hourly, mis à jour chaque jour) ; contrôle croisé de la température : écart moyen 0,03 à 0,09 °C ; prévisions collectées (MET Norway, weather_forecast)</t>
        </is>
      </c>
    </row>
    <row r="24" ht="23.25" customHeight="1" s="28">
      <c r="A24" s="32" t="inlineStr">
        <is>
          <t>Visibilité</t>
        </is>
      </c>
      <c r="B24" s="33" t="inlineStr">
        <is>
          <t>Météo</t>
        </is>
      </c>
      <c r="C24" s="33" t="inlineStr">
        <is>
          <t>Visibilité horizontale, en km ; GSOD : moyenne du jour convertie des miles ; GHCNh : par heure. Messages METAR (aéroport de Kiruna) plafonnés à 10 km (« 10 km ou plus », colonne visibility_capped)</t>
        </is>
      </c>
      <c r="D24" s="34" t="inlineStr">
        <is>
          <t>km</t>
        </is>
      </c>
      <c r="E24" s="33" t="inlineStr">
        <is>
          <t>Horaire (GHCNh) ; journalière (GSOD)</t>
        </is>
      </c>
      <c r="F24" s="33" t="inlineStr">
        <is>
          <t>GSOD : une fois (base figée) ; GHCNh : chaque jour, lignes nouvelles seulement</t>
        </is>
      </c>
      <c r="G24" s="33" t="inlineStr">
        <is>
          <t>NOAA NCEI GSOD par SQL (BigQuery bigquery-public-data.noaa_gsod, 2010 → 24/08/2025) ; NOAA GHCNh horaire, mêmes stations (TROMSO, aéroport de Kiruna, gare de Rovaniemi), 2010 → hier</t>
        </is>
      </c>
      <c r="H24" s="33" t="inlineStr">
        <is>
          <t>Requêtes SQL (BigQuery) + API (fichiers GHCNh)</t>
        </is>
      </c>
      <c r="I24" s="34" t="inlineStr">
        <is>
          <t>Court terme</t>
        </is>
      </c>
      <c r="J24" s="34" t="inlineStr">
        <is>
          <t>Essentielle</t>
        </is>
      </c>
      <c r="K24" s="33" t="inlineStr">
        <is>
          <t>Brume et brouillard masquent le ciel comme les nuages</t>
        </is>
      </c>
      <c r="L24" s="33" t="inlineStr">
        <is>
          <t>NOAA NCEI GSOD : données publiques, sans garantie (citer NCEI) ; NOAA GHCNh : CC0 (DOI 10.25921/jp3d-3v19) ; requêtes BigQuery gratuites jusqu'à 1 To par mois</t>
        </is>
      </c>
      <c r="M24" s="34" t="inlineStr">
        <is>
          <t>Collecté et nettoyé : GSOD (weather_daily) et GHCNh (weather_hourly, mis à jour chaque jour) ; contrôle croisé de la température : écart moyen 0,03 à 0,09 °C ; prévisions collectées (MET Norway, weather_forecast)</t>
        </is>
      </c>
    </row>
    <row r="25" ht="23.25" customHeight="1" s="28">
      <c r="A25" s="32" t="inlineStr">
        <is>
          <t>Brouillard (jour signalé)</t>
        </is>
      </c>
      <c r="B25" s="33" t="inlineStr">
        <is>
          <t>Météo</t>
        </is>
      </c>
      <c r="C25" s="33" t="inlineStr">
        <is>
          <t>Brouillard signalé : GSOD = au moins une fois dans la journée ; GHCNh = par heure, d'après le temps présent WMO (abréviation FG, code manuel 40-49, automatique 30-35) ; brume (BR, code 10) en colonne séparée</t>
        </is>
      </c>
      <c r="D25" s="34" t="inlineStr">
        <is>
          <t>Booléen</t>
        </is>
      </c>
      <c r="E25" s="33" t="inlineStr">
        <is>
          <t>Horaire (GHCNh) ; journalière (GSOD)</t>
        </is>
      </c>
      <c r="F25" s="33" t="inlineStr">
        <is>
          <t>GSOD : une fois (base figée) ; GHCNh : chaque jour, lignes nouvelles seulement</t>
        </is>
      </c>
      <c r="G25" s="33" t="inlineStr">
        <is>
          <t>NOAA NCEI GSOD par SQL (BigQuery bigquery-public-data.noaa_gsod, 2010 → 24/08/2025) ; NOAA GHCNh horaire, mêmes stations (TROMSO, aéroport de Kiruna, gare de Rovaniemi), 2010 → hier</t>
        </is>
      </c>
      <c r="H25" s="33" t="inlineStr">
        <is>
          <t>Requêtes SQL (BigQuery) + API (fichiers GHCNh)</t>
        </is>
      </c>
      <c r="I25" s="34" t="inlineStr">
        <is>
          <t>Court terme</t>
        </is>
      </c>
      <c r="J25" s="34" t="inlineStr">
        <is>
          <t>Essentielle</t>
        </is>
      </c>
      <c r="K25" s="33" t="inlineStr">
        <is>
          <t>Ciel bouché en pleine saison des aurores (4 à 6 jours par mois en octobre-novembre à Kiruna et Rovaniemi)</t>
        </is>
      </c>
      <c r="L25" s="33" t="inlineStr">
        <is>
          <t>NOAA NCEI GSOD : données publiques, sans garantie (citer NCEI) ; NOAA GHCNh : CC0 (DOI 10.25921/jp3d-3v19) ; requêtes BigQuery gratuites jusqu'à 1 To par mois</t>
        </is>
      </c>
      <c r="M25" s="34" t="inlineStr">
        <is>
          <t>Collecté et nettoyé : GSOD (weather_daily) et GHCNh (weather_hourly, mis à jour chaque jour) ; contrôle croisé de la température : écart moyen 0,03 à 0,09 °C ; prévisions collectées (MET Norway, weather_forecast)</t>
        </is>
      </c>
    </row>
    <row r="26" ht="23.25" customHeight="1" s="28">
      <c r="A26" s="32" t="inlineStr">
        <is>
          <t>Vent (moyen et maximum)</t>
        </is>
      </c>
      <c r="B26" s="33" t="inlineStr">
        <is>
          <t>Météo</t>
        </is>
      </c>
      <c r="C26" s="33" t="inlineStr">
        <is>
          <t>Vitesse (et direction pour GHCNh) du vent, en m/s ; direction 999 = vent calme ou variable</t>
        </is>
      </c>
      <c r="D26" s="34" t="inlineStr">
        <is>
          <t>m/s</t>
        </is>
      </c>
      <c r="E26" s="33" t="inlineStr">
        <is>
          <t>Horaire (GHCNh) ; journalière (GSOD)</t>
        </is>
      </c>
      <c r="F26" s="33" t="inlineStr">
        <is>
          <t>GSOD : une fois (base figée) ; GHCNh : chaque jour, lignes nouvelles seulement</t>
        </is>
      </c>
      <c r="G26" s="33" t="inlineStr">
        <is>
          <t>NOAA NCEI GSOD par SQL (BigQuery bigquery-public-data.noaa_gsod, 2010 → 24/08/2025) ; NOAA GHCNh horaire, mêmes stations (TROMSO, aéroport de Kiruna, gare de Rovaniemi), 2010 → hier</t>
        </is>
      </c>
      <c r="H26" s="33" t="inlineStr">
        <is>
          <t>Requêtes SQL (BigQuery) + API (fichiers GHCNh)</t>
        </is>
      </c>
      <c r="I26" s="34" t="inlineStr">
        <is>
          <t>Court terme</t>
        </is>
      </c>
      <c r="J26" s="34" t="inlineStr">
        <is>
          <t>Optionnelle</t>
        </is>
      </c>
      <c r="K26" s="33" t="inlineStr">
        <is>
          <t>Confort d'observation pour l'agence ; le vent dissipe aussi le brouillard</t>
        </is>
      </c>
      <c r="L26" s="33" t="inlineStr">
        <is>
          <t>NOAA NCEI GSOD : données publiques, sans garantie (citer NCEI) ; NOAA GHCNh : CC0 (DOI 10.25921/jp3d-3v19) ; requêtes BigQuery gratuites jusqu'à 1 To par mois</t>
        </is>
      </c>
      <c r="M26" s="34" t="inlineStr">
        <is>
          <t>Collecté et nettoyé : GSOD (weather_daily) et GHCNh (weather_hourly, mis à jour chaque jour) ; contrôle croisé de la température : écart moyen 0,03 à 0,09 °C ; prévisions collectées (MET Norway, weather_forecast)</t>
        </is>
      </c>
    </row>
    <row r="27" ht="23.25" customHeight="1" s="28">
      <c r="A27" s="32" t="inlineStr">
        <is>
          <t>Précipitations</t>
        </is>
      </c>
      <c r="B27" s="33" t="inlineStr">
        <is>
          <t>Météo</t>
        </is>
      </c>
      <c r="C27" s="33" t="inlineStr">
        <is>
          <t>Cumul du jour, converti de pouces en mm ; lettre NOAA « I » (pas de relevé) passée à vide ; plus de 50 mm sans pluie signalée marqué suspect</t>
        </is>
      </c>
      <c r="D27" s="34" t="inlineStr">
        <is>
          <t>mm</t>
        </is>
      </c>
      <c r="E27" s="33" t="inlineStr">
        <is>
          <t>Journalière</t>
        </is>
      </c>
      <c r="F27" s="33" t="inlineStr">
        <is>
          <t>Historique : une fois</t>
        </is>
      </c>
      <c r="G27" s="33" t="inlineStr">
        <is>
          <t>NOAA NCEI GSOD, base publique BigQuery bigquery-public-data.noaa_gsod (stations TROMSO, KIRUNA, ROVANIEMI RAUTATIEASEMA)</t>
        </is>
      </c>
      <c r="H27" s="33" t="inlineStr">
        <is>
          <t>Requêtes SQL (BigQuery)</t>
        </is>
      </c>
      <c r="I27" s="34" t="inlineStr">
        <is>
          <t>Court terme</t>
        </is>
      </c>
      <c r="J27" s="34" t="inlineStr">
        <is>
          <t>Optionnelle</t>
        </is>
      </c>
      <c r="K27" s="33" t="inlineStr">
        <is>
          <t>Exploitable seulement à Tromsø (92 % des jours) ; inutilisable à Kiruna et Rovaniemi (0 %)</t>
        </is>
      </c>
      <c r="L27" s="33" t="inlineStr">
        <is>
          <t>NOAA NCEI : données publiques, sans garantie (citer « Global Surface Summary of the Day - GSOD », NCEI) ; requêtes BigQuery gratuites jusqu'à 1 To par mois</t>
        </is>
      </c>
      <c r="M27" s="34" t="inlineStr">
        <is>
          <t>Historique collecté et nettoyé (2010 → 24/08/2025, table weather_daily) ; prévisions collectées (MET Norway, weather_forecast)</t>
        </is>
      </c>
    </row>
    <row r="28" ht="23.25" customHeight="1" s="28">
      <c r="A28" s="32" t="inlineStr">
        <is>
          <t>Pression au niveau de la mer</t>
        </is>
      </c>
      <c r="B28" s="33" t="inlineStr">
        <is>
          <t>Météo</t>
        </is>
      </c>
      <c r="C28" s="33" t="inlineStr">
        <is>
          <t>Pression atmosphérique ramenée au niveau de la mer</t>
        </is>
      </c>
      <c r="D28" s="34" t="inlineStr">
        <is>
          <t>hPa</t>
        </is>
      </c>
      <c r="E28" s="33" t="inlineStr">
        <is>
          <t>Horaire</t>
        </is>
      </c>
      <c r="F28" s="33" t="inlineStr">
        <is>
          <t>Chaque jour, lignes nouvelles seulement</t>
        </is>
      </c>
      <c r="G28" s="33" t="inlineStr">
        <is>
          <t>NOAA GHCNh horaire (TROMSO, aéroport de Kiruna, gare de Rovaniemi), 2010 → hier</t>
        </is>
      </c>
      <c r="H28" s="33" t="inlineStr">
        <is>
          <t>API (fichiers GHCNh)</t>
        </is>
      </c>
      <c r="I28" s="34" t="inlineStr">
        <is>
          <t>Court terme</t>
        </is>
      </c>
      <c r="J28" s="34" t="inlineStr">
        <is>
          <t>Optionnelle</t>
        </is>
      </c>
      <c r="K28" s="33" t="inlineStr">
        <is>
          <t>Une pression qui monte annonce souvent un ciel qui se dégage ; à tester en sélection de variables</t>
        </is>
      </c>
      <c r="L28" s="33" t="inlineStr">
        <is>
          <t>NOAA GHCNh : CC0 (DOI 10.25921/jp3d-3v19)</t>
        </is>
      </c>
      <c r="M28" s="34" t="inlineStr">
        <is>
          <t>Collecté et nettoyé (weather_hourly, 2010 → hier) ; prévisions collectées (MET Norway, weather_forecast)</t>
        </is>
      </c>
    </row>
    <row r="29" ht="23.25" customHeight="1" s="28">
      <c r="A29" s="32" t="inlineStr">
        <is>
          <t>Prévision de brouillard</t>
        </is>
      </c>
      <c r="B29" s="33" t="inlineStr">
        <is>
          <t>Météo</t>
        </is>
      </c>
      <c r="C29" s="33" t="inlineStr">
        <is>
          <t>Part de la zone autour du lieu couverte de brouillard (visibilité sous 1 km) ; seul indicateur de visibilité prévu par l'API</t>
        </is>
      </c>
      <c r="D29" s="34" t="inlineStr">
        <is>
          <t>%</t>
        </is>
      </c>
      <c r="E29" s="33" t="inlineStr">
        <is>
          <t>Horaire, environ 60 h</t>
        </is>
      </c>
      <c r="F29" s="33" t="inlineStr">
        <is>
          <t>Toutes les 3 h (dans le respect de l'en-tête Expires)</t>
        </is>
      </c>
      <c r="G29" s="33" t="inlineStr">
        <is>
          <t>MET Norway Locationforecast 2.0 (complete), fog_area_fraction</t>
        </is>
      </c>
      <c r="H29" s="33" t="inlineStr">
        <is>
          <t>API</t>
        </is>
      </c>
      <c r="I29" s="34" t="inlineStr">
        <is>
          <t>Court terme (0 à 60 h)</t>
        </is>
      </c>
      <c r="J29" s="34" t="inlineStr">
        <is>
          <t>Essentielle</t>
        </is>
      </c>
      <c r="K29" s="33" t="inlineStr">
        <is>
          <t>Le brouillard masque le ciel comme les nuages ; complète la nébulosité prévue</t>
        </is>
      </c>
      <c r="L29" s="33" t="inlineStr">
        <is>
          <t>MET Norway : CC BY 4.0 (citer MET Norway, lien vers la licence)</t>
        </is>
      </c>
      <c r="M29" s="34" t="inlineStr">
        <is>
          <t>Collecté toutes les 3 h (weather_forecast)</t>
        </is>
      </c>
    </row>
    <row r="30" ht="23.25" customHeight="1" s="28">
      <c r="A30" s="32" t="inlineStr">
        <is>
          <t>Prévision de nébulosité par étage</t>
        </is>
      </c>
      <c r="B30" s="33" t="inlineStr">
        <is>
          <t>Météo</t>
        </is>
      </c>
      <c r="C30" s="33" t="inlineStr">
        <is>
          <t>Nuages bas (&lt; 2 000 m), moyens (2 000 à 5 000 m) et hauts (&gt; 5 000 m), en plus de la nébulosité totale</t>
        </is>
      </c>
      <c r="D30" s="34" t="inlineStr">
        <is>
          <t>%</t>
        </is>
      </c>
      <c r="E30" s="33" t="inlineStr">
        <is>
          <t>Horaire, environ 60 h</t>
        </is>
      </c>
      <c r="F30" s="33" t="inlineStr">
        <is>
          <t>Toutes les 3 h (dans le respect de l'en-tête Expires)</t>
        </is>
      </c>
      <c r="G30" s="33" t="inlineStr">
        <is>
          <t>MET Norway Locationforecast 2.0 (complete), cloud_area_fraction_low/medium/high</t>
        </is>
      </c>
      <c r="H30" s="33" t="inlineStr">
        <is>
          <t>API</t>
        </is>
      </c>
      <c r="I30" s="34" t="inlineStr">
        <is>
          <t>Court terme (0 à 60 h)</t>
        </is>
      </c>
      <c r="J30" s="34" t="inlineStr">
        <is>
          <t>Utile</t>
        </is>
      </c>
      <c r="K30" s="33" t="inlineStr">
        <is>
          <t>Un voile de nuages hauts laisse parfois voir une aurore intense, pas des nuages bas</t>
        </is>
      </c>
      <c r="L30" s="33" t="inlineStr">
        <is>
          <t>MET Norway : CC BY 4.0 (citer MET Norway, lien vers la licence)</t>
        </is>
      </c>
      <c r="M30" s="34" t="inlineStr">
        <is>
          <t>Collecté toutes les 3 h (weather_forecast)</t>
        </is>
      </c>
    </row>
  </sheetData>
  <conditionalFormatting sqref="J5:J30">
    <cfRule type="cellIs" rank="0" priority="2" equalAverage="0" operator="equal" aboveAverage="0" dxfId="0" text="" percent="0" bottom="0">
      <formula>"Essentielle"</formula>
    </cfRule>
    <cfRule type="cellIs" rank="0" priority="3" equalAverage="0" operator="equal" aboveAverage="0" dxfId="1" text="" percent="0" bottom="0">
      <formula>"Utile"</formula>
    </cfRule>
    <cfRule type="cellIs" rank="0" priority="4" equalAverage="0" operator="equal" aboveAverage="0" dxfId="2" text="" percent="0" bottom="0">
      <formula>"À écarter"</formula>
    </cfRule>
  </conditionalFormatting>
  <conditionalFormatting sqref="M5:M30">
    <cfRule type="cellIs" rank="0" priority="5" equalAverage="0" operator="equal" aboveAverage="0" dxfId="0" text="" percent="0" bottom="0">
      <formula>"Terminé"</formula>
    </cfRule>
  </conditionalFormatting>
  <dataValidations count="2">
    <dataValidation sqref="M5:M30" showDropDown="0" showInputMessage="0" showErrorMessage="0" allowBlank="0" type="list" errorStyle="stop" operator="between">
      <formula1>"À faire,En cours,Terminé"</formula1>
      <formula2>0</formula2>
    </dataValidation>
    <dataValidation sqref="J5:J30" showDropDown="0" showInputMessage="0" showErrorMessage="0" allowBlank="0" type="list" errorStyle="stop" operator="between">
      <formula1>"Essentielle,Utile,Optionnelle,À écarter"</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B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27" min="1" max="1"/>
    <col width="22" customWidth="1" style="27" min="2" max="2"/>
  </cols>
  <sheetData>
    <row r="1" ht="17.25" customHeight="1" s="28">
      <c r="A1" s="29" t="inlineStr">
        <is>
          <t>Synthèse des variables</t>
        </is>
      </c>
    </row>
    <row r="3" ht="15" customHeight="1" s="28">
      <c r="A3" s="35" t="inlineStr">
        <is>
          <t>Priorité</t>
        </is>
      </c>
      <c r="B3" s="35" t="inlineStr">
        <is>
          <t>Nombre de variables</t>
        </is>
      </c>
    </row>
    <row r="4" ht="15" customHeight="1" s="28">
      <c r="A4" s="36" t="inlineStr">
        <is>
          <t>Essentielle</t>
        </is>
      </c>
      <c r="B4" s="37">
        <f>COUNTIF('Dictionnaire de données'!$J$5:$J$30,A4)</f>
        <v/>
      </c>
    </row>
    <row r="5" ht="15" customHeight="1" s="28">
      <c r="A5" s="36" t="inlineStr">
        <is>
          <t>Utile</t>
        </is>
      </c>
      <c r="B5" s="37">
        <f>COUNTIF('Dictionnaire de données'!$J$5:$J$30,A5)</f>
        <v/>
      </c>
    </row>
    <row r="6" ht="15" customHeight="1" s="28">
      <c r="A6" s="36" t="inlineStr">
        <is>
          <t>Optionnelle</t>
        </is>
      </c>
      <c r="B6" s="37">
        <f>COUNTIF('Dictionnaire de données'!$J$5:$J$30,A6)</f>
        <v/>
      </c>
    </row>
    <row r="7" ht="15" customHeight="1" s="28">
      <c r="A7" s="36" t="inlineStr">
        <is>
          <t>À écarter</t>
        </is>
      </c>
      <c r="B7" s="37">
        <f>COUNTIF('Dictionnaire de données'!$J$5:$J$30,A7)</f>
        <v/>
      </c>
    </row>
    <row r="8" ht="15" customHeight="1" s="28">
      <c r="A8" s="38" t="inlineStr">
        <is>
          <t>Total</t>
        </is>
      </c>
      <c r="B8" s="39">
        <f>SUM(B4:B7)</f>
        <v/>
      </c>
    </row>
    <row r="10" ht="15" customHeight="1" s="28">
      <c r="A10" s="40" t="inlineStr">
        <is>
          <t>Variables à collecter via</t>
        </is>
      </c>
    </row>
    <row r="11" ht="15" customHeight="1" s="28">
      <c r="A11" s="36" t="inlineStr">
        <is>
          <t>API</t>
        </is>
      </c>
      <c r="B11" s="37">
        <f>COUNTIF('Dictionnaire de données'!$H$5:$H$30,"*"&amp;A11&amp;"*")</f>
        <v/>
      </c>
    </row>
    <row r="12" ht="15" customHeight="1" s="28">
      <c r="A12" s="36" t="inlineStr">
        <is>
          <t>Scraping</t>
        </is>
      </c>
      <c r="B12" s="37">
        <f>COUNTIF('Dictionnaire de données'!$H$5:$H$30,"*"&amp;A12&amp;"*")</f>
        <v/>
      </c>
    </row>
    <row r="13" ht="15" customHeight="1" s="28">
      <c r="A13" s="36" t="inlineStr">
        <is>
          <t>Calcul local</t>
        </is>
      </c>
      <c r="B13" s="37">
        <f>COUNTIF('Dictionnaire de données'!$H$5:$H$30,"*"&amp;A13&amp;"*")</f>
        <v/>
      </c>
    </row>
    <row r="14" ht="15" customHeight="1" s="28">
      <c r="A14" s="36" t="inlineStr">
        <is>
          <t>SQL</t>
        </is>
      </c>
      <c r="B14" s="37">
        <f>COUNTIF('Dictionnaire de données'!$H$5:$H$30,"*"&amp;A14&amp;"*")</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B1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2" customWidth="1" style="27" min="1" max="1"/>
    <col width="100" customWidth="1" style="27" min="2" max="2"/>
  </cols>
  <sheetData>
    <row r="1" ht="17.25" customHeight="1" s="28">
      <c r="A1" s="29" t="inlineStr">
        <is>
          <t>Notes et points à vérifier</t>
        </is>
      </c>
    </row>
    <row r="3" ht="15" customHeight="1" s="28">
      <c r="A3" s="41" t="inlineStr">
        <is>
          <t>Sujet</t>
        </is>
      </c>
      <c r="B3" s="41" t="inlineStr">
        <is>
          <t>Détail</t>
        </is>
      </c>
    </row>
    <row r="4" ht="23.25" customHeight="1" s="28">
      <c r="A4" s="42" t="inlineStr">
        <is>
          <t>Rôle de Bz</t>
        </is>
      </c>
      <c r="B4" s="68" t="inlineStr">
        <is>
          <t>Quand Bz est négatif (orienté vers le sud), le champ du vent solaire se connecte à celui de la Terre et les aurores s'intensifient. Quand Bz est positif, la Terre est mieux protégée.</t>
        </is>
      </c>
    </row>
    <row r="5" ht="15" customHeight="1" s="28">
      <c r="A5" s="42" t="inlineStr">
        <is>
          <t>Deux horizons</t>
        </is>
      </c>
      <c r="B5" s="68" t="inlineStr">
        <is>
          <t>Court terme (30 à 60 min) : Bz, vitesse, densité. Moyen terme (1 à 3 jours) : taches solaires, éruptions, prévision Kp NOAA.</t>
        </is>
      </c>
    </row>
    <row r="6" ht="23.25" customHeight="1" s="28">
      <c r="A6" s="42" t="inlineStr">
        <is>
          <t>Historique</t>
        </is>
      </c>
      <c r="B6" s="68" t="inlineStr">
        <is>
          <t>Les JSON NOAA ne gardent que quelques heures à quelques jours (vent solaire environ 20 h, Kp observé 7 jours). Historique collecté une fois par backfill (GFZ depuis 1932, OMNIWeb, NOAA GHCNh et NOAA GSOD depuis 2010), puis collecte continue toutes les 3 h.</t>
        </is>
      </c>
    </row>
    <row r="7" ht="15" customHeight="1" s="28">
      <c r="A7" s="42" t="inlineStr">
        <is>
          <t>Prévisions</t>
        </is>
      </c>
      <c r="B7" s="68" t="inlineStr">
        <is>
          <t>Conserver chaque prévision avec sa date d'émission pour comparer prévu vs observé (monitoring et réentraînement).</t>
        </is>
      </c>
    </row>
    <row r="8" ht="15" customHeight="1" s="28">
      <c r="A8" s="42" t="inlineStr">
        <is>
          <t>Valeurs manquantes</t>
        </is>
      </c>
      <c r="B8" s="68" t="inlineStr">
        <is>
          <t>Marqueur explicite, journal des trous, interpolation courte pour le vent solaire, jamais pour le Kp observé.</t>
        </is>
      </c>
    </row>
    <row r="9" ht="23.25" customHeight="1" s="28">
      <c r="A9" s="42" t="inlineStr">
        <is>
          <t>SpaceWeatherLive</t>
        </is>
      </c>
      <c r="B9" s="68" t="inlineStr">
        <is>
          <t>robots.txt : Allow pour les robots génériques, Crawl-delay de 5 s, ai-train=no (zone grise pour le ML). CGU : données brutes libres avec citation des sources d'origine, copie des graphiques et hotlinking interdits, rien sur le scraping. Privilégier NOAA/GFZ à la source. Détails dans l'onglet « Vérification CGU ».</t>
        </is>
      </c>
    </row>
    <row r="10" ht="15" customHeight="1" s="28">
      <c r="A10" s="42" t="inlineStr">
        <is>
          <t>À vérifier</t>
        </is>
      </c>
      <c r="B10" s="68" t="inlineStr">
        <is>
          <t>Endpoints NOAA pour les protons et les taches solaires, accès et licence GFZ/OMNIWeb, unités exactes de chaque flux.</t>
        </is>
      </c>
    </row>
    <row r="11" ht="23.85" customHeight="1" s="28">
      <c r="A11" s="42" t="inlineStr">
        <is>
          <t>Entrepôt</t>
        </is>
      </c>
      <c r="B11" s="68" t="inlineStr">
        <is>
          <t>Toutes les tables propres sont chargées dans PostgreSQL toutes les 3 h, après chaque collecte réussie (onglet « Entrepôt ») : Neon dans le cloud, Docker en local. La vue v_training_kp sert de table d'entraînement aux modèles (onglet « Modèles »).</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F20"/>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27" min="1" max="1"/>
    <col width="20" customWidth="1" style="27" min="2" max="2"/>
    <col width="60" customWidth="1" style="27" min="3" max="3"/>
    <col width="46" customWidth="1" style="27" min="4" max="4"/>
    <col width="34" customWidth="1" style="27" min="5" max="5"/>
    <col width="26" customWidth="1" style="27" min="6" max="6"/>
  </cols>
  <sheetData>
    <row r="1" ht="17.25" customHeight="1" s="28">
      <c r="A1" s="29" t="inlineStr">
        <is>
          <t>AuroraCast – Techniques de collecte (C1.1.2)</t>
        </is>
      </c>
    </row>
    <row r="2" ht="15" customHeight="1" s="28">
      <c r="A2" s="49" t="inlineStr">
        <is>
          <t>Mis à jour le 29/10/2026. GHCNh : accès HTTP aux fichiers du service NOAA Open Data (classé « API » dans les manifestes).</t>
        </is>
      </c>
    </row>
    <row r="4" ht="30" customHeight="1" s="28">
      <c r="A4" s="45" t="inlineStr">
        <is>
          <t>Technique</t>
        </is>
      </c>
      <c r="B4" s="45" t="inlineStr">
        <is>
          <t>Source</t>
        </is>
      </c>
      <c r="C4" s="45" t="inlineStr">
        <is>
          <t>Données collectées</t>
        </is>
      </c>
      <c r="D4" s="45" t="inlineStr">
        <is>
          <t>Accès</t>
        </is>
      </c>
      <c r="E4" s="45" t="inlineStr">
        <is>
          <t>Code</t>
        </is>
      </c>
      <c r="F4" s="45" t="inlineStr">
        <is>
          <t>Fréquence</t>
        </is>
      </c>
    </row>
    <row r="5" ht="23.25" customHeight="1" s="28">
      <c r="A5" s="68" t="inlineStr">
        <is>
          <t>API</t>
        </is>
      </c>
      <c r="B5" s="68" t="inlineStr">
        <is>
          <t>NOAA SWPC</t>
        </is>
      </c>
      <c r="C5" s="68" t="inlineStr">
        <is>
          <t>Kp observé et prévu, Kp minute, vent solaire temps réel (Bz, vitesse, densité), échelles NOAA, alertes</t>
        </is>
      </c>
      <c r="D5" s="68" t="inlineStr">
        <is>
          <t>services.swpc.noaa.gov (JSON)</t>
        </is>
      </c>
      <c r="E5" s="68" t="inlineStr">
        <is>
          <t>src/auroracast/collect/noaa.py</t>
        </is>
      </c>
      <c r="F5" s="68" t="inlineStr">
        <is>
          <t>Toutes les 3 h</t>
        </is>
      </c>
    </row>
    <row r="6" ht="23.25" customHeight="1" s="28">
      <c r="A6" s="68" t="inlineStr">
        <is>
          <t>API</t>
        </is>
      </c>
      <c r="B6" s="68" t="inlineStr">
        <is>
          <t>NOAA GHCNh</t>
        </is>
      </c>
      <c r="C6" s="68" t="inlineStr">
        <is>
          <t>Observations horaires des 3 stations : nuages, température, humidité, pression, vent, visibilité, temps présent</t>
        </is>
      </c>
      <c r="D6" s="68" t="inlineStr">
        <is>
          <t>noaa-ghcnh-pds.s3.amazonaws.com (fichiers annuels par station)</t>
        </is>
      </c>
      <c r="E6" s="68" t="inlineStr">
        <is>
          <t>src/auroracast/collect/ghcnh.py</t>
        </is>
      </c>
      <c r="F6" s="68" t="inlineStr">
        <is>
          <t>Chaque jour (lignes nouvelles)</t>
        </is>
      </c>
    </row>
    <row r="7" ht="23.25" customHeight="1" s="28">
      <c r="A7" s="68" t="inlineStr">
        <is>
          <t>API</t>
        </is>
      </c>
      <c r="B7" s="68" t="inlineStr">
        <is>
          <t>MET Norway</t>
        </is>
      </c>
      <c r="C7" s="68" t="inlineStr">
        <is>
          <t>Prévisions locales : nébulosité totale et par étage, brouillard, température, humidité, vent, pluie (horaire sur environ 50 h, puis 6 h jusqu'à 10 jours)</t>
        </is>
      </c>
      <c r="D7" s="68" t="inlineStr">
        <is>
          <t>api.met.no/weatherapi/locationforecast/2.0/complete (JSON)</t>
        </is>
      </c>
      <c r="E7" s="68" t="inlineStr">
        <is>
          <t>src/auroracast/collect/metno.py</t>
        </is>
      </c>
      <c r="F7" s="68" t="inlineStr">
        <is>
          <t>Toutes les 3 h (Expires respecté)</t>
        </is>
      </c>
    </row>
    <row r="8" ht="23.25" customHeight="1" s="28">
      <c r="A8" s="68" t="inlineStr">
        <is>
          <t>Scraping</t>
        </is>
      </c>
      <c r="B8" s="68" t="inlineStr">
        <is>
          <t>NOAA SWPC</t>
        </is>
      </c>
      <c r="C8" s="68" t="inlineStr">
        <is>
          <t>Prévision à 3 jours rédigée, indices géomagnétiques du jour</t>
        </is>
      </c>
      <c r="D8" s="68" t="inlineStr">
        <is>
          <t>services.swpc.noaa.gov/text/ (fichiers texte)</t>
        </is>
      </c>
      <c r="E8" s="68" t="inlineStr">
        <is>
          <t>src/auroracast/collect/noaa.py</t>
        </is>
      </c>
      <c r="F8" s="68" t="inlineStr">
        <is>
          <t>Toutes les 3 h</t>
        </is>
      </c>
    </row>
    <row r="9" ht="23.25" customHeight="1" s="28">
      <c r="A9" s="68" t="inlineStr">
        <is>
          <t>Crawling</t>
        </is>
      </c>
      <c r="B9" s="68" t="inlineStr">
        <is>
          <t>OMNIWeb (NASA SPDF)</t>
        </is>
      </c>
      <c r="C9" s="68" t="inlineStr">
        <is>
          <t>Vent solaire et champ magnétique interplanétaire horaires depuis 2010</t>
        </is>
      </c>
      <c r="D9" s="68" t="inlineStr">
        <is>
          <t>spdf.gsfc.nasa.gov/pub/data/omni/low_res_omni/ (parcours de l'index)</t>
        </is>
      </c>
      <c r="E9" s="68" t="inlineStr">
        <is>
          <t>src/auroracast/collect/omni.py</t>
        </is>
      </c>
      <c r="F9" s="68" t="inlineStr">
        <is>
          <t>Backfill à la demande</t>
        </is>
      </c>
    </row>
    <row r="10" ht="15" customHeight="1" s="28">
      <c r="A10" s="68" t="inlineStr">
        <is>
          <t>SQL</t>
        </is>
      </c>
      <c r="B10" s="68" t="inlineStr">
        <is>
          <t>NOAA GSOD</t>
        </is>
      </c>
      <c r="C10" s="68" t="inlineStr">
        <is>
          <t>Météo quotidienne 2010 → 24/08/2025 : température, rosée, visibilité, brouillard, vent, précipitations</t>
        </is>
      </c>
      <c r="D10" s="68" t="inlineStr">
        <is>
          <t>BigQuery bigquery-public-data.noaa_gsod</t>
        </is>
      </c>
      <c r="E10" s="68" t="inlineStr">
        <is>
          <t>src/auroracast/collect/gsod.py</t>
        </is>
      </c>
      <c r="F10" s="68" t="inlineStr">
        <is>
          <t>Backfill à la demande (base figée)</t>
        </is>
      </c>
    </row>
    <row r="11" ht="15" customHeight="1" s="28">
      <c r="A11" s="68" t="inlineStr">
        <is>
          <t>Fichier</t>
        </is>
      </c>
      <c r="B11" s="68" t="inlineStr">
        <is>
          <t>GFZ Potsdam</t>
        </is>
      </c>
      <c r="C11" s="68" t="inlineStr">
        <is>
          <t>Kp, ap, Ap, taches solaires et flux F10.7 depuis 1932</t>
        </is>
      </c>
      <c r="D11" s="68" t="inlineStr">
        <is>
          <t>kp.gfz.de (Kp_ap_Ap_SN_F107_since_1932.txt)</t>
        </is>
      </c>
      <c r="E11" s="68" t="inlineStr">
        <is>
          <t>src/auroracast/collect/gfz.py</t>
        </is>
      </c>
      <c r="F11" s="68" t="inlineStr">
        <is>
          <t>Backfill à la demande</t>
        </is>
      </c>
    </row>
    <row r="12" ht="15" customHeight="1" s="28">
      <c r="A12" s="49" t="inlineStr">
        <is>
          <t>Hors collecte : la table astronomique (Soleil, Lune, nuit polaire) est calculée localement avec PyEphem, sans source externe (src/auroracast/transform/astronomy.py).</t>
        </is>
      </c>
    </row>
    <row r="13" ht="15" customHeight="1" s="28">
      <c r="A13" s="40" t="inlineStr">
        <is>
          <t>Synthèse</t>
        </is>
      </c>
    </row>
    <row r="14" ht="15" customHeight="1" s="28">
      <c r="A14" s="40" t="inlineStr">
        <is>
          <t>Technique</t>
        </is>
      </c>
      <c r="B14" s="40" t="inlineStr">
        <is>
          <t>Nombre de sources</t>
        </is>
      </c>
    </row>
    <row r="15" ht="15" customHeight="1" s="28">
      <c r="A15" s="46" t="inlineStr">
        <is>
          <t>API</t>
        </is>
      </c>
      <c r="B15" s="46">
        <f>COUNTIF($A$5:$A$11,A15)</f>
        <v/>
      </c>
    </row>
    <row r="16" ht="15" customHeight="1" s="28">
      <c r="A16" s="46" t="inlineStr">
        <is>
          <t>Scraping</t>
        </is>
      </c>
      <c r="B16" s="46">
        <f>COUNTIF($A$5:$A$11,A16)</f>
        <v/>
      </c>
    </row>
    <row r="17" ht="15" customHeight="1" s="28">
      <c r="A17" s="46" t="inlineStr">
        <is>
          <t>Crawling</t>
        </is>
      </c>
      <c r="B17" s="46">
        <f>COUNTIF($A$5:$A$11,A17)</f>
        <v/>
      </c>
    </row>
    <row r="18" ht="15" customHeight="1" s="28">
      <c r="A18" s="46" t="inlineStr">
        <is>
          <t>SQL</t>
        </is>
      </c>
      <c r="B18" s="46">
        <f>COUNTIF($A$5:$A$11,A18)</f>
        <v/>
      </c>
    </row>
    <row r="19" ht="15" customHeight="1" s="28">
      <c r="A19" s="46" t="inlineStr">
        <is>
          <t>Fichier</t>
        </is>
      </c>
      <c r="B19" s="46">
        <f>COUNTIF($A$5:$A$11,A19)</f>
        <v/>
      </c>
    </row>
    <row r="20" ht="15" customHeight="1" s="28">
      <c r="A20" s="40" t="inlineStr">
        <is>
          <t>Total</t>
        </is>
      </c>
      <c r="B20" s="40">
        <f>SUM(B15:B19)</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C10"/>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27" min="1" max="1"/>
    <col width="50" customWidth="1" style="27" min="2" max="2"/>
    <col width="56" customWidth="1" style="27" min="3" max="3"/>
  </cols>
  <sheetData>
    <row r="1" ht="17.25" customHeight="1" s="28">
      <c r="A1" s="29" t="inlineStr">
        <is>
          <t>Météo au sol : deux sources pour les mêmes stations</t>
        </is>
      </c>
    </row>
    <row r="2" ht="15" customHeight="1" s="28">
      <c r="A2" s="49" t="inlineStr">
        <is>
          <t>Contrôle croisé de la température moyenne du jour : écart moyen de 0,03 à 0,09 °C selon le lieu (rapport de qualité du 29/10/2026).</t>
        </is>
      </c>
    </row>
    <row r="4" ht="30" customHeight="1" s="28">
      <c r="B4" s="45" t="inlineStr">
        <is>
          <t>GSOD</t>
        </is>
      </c>
      <c r="C4" s="45" t="inlineStr">
        <is>
          <t>GHCNh</t>
        </is>
      </c>
    </row>
    <row r="5" ht="15" customHeight="1" s="28">
      <c r="A5" s="68" t="inlineStr">
        <is>
          <t>Technique</t>
        </is>
      </c>
      <c r="B5" s="68" t="inlineStr">
        <is>
          <t>Requêtes SQL (BigQuery)</t>
        </is>
      </c>
      <c r="C5" s="68" t="inlineStr">
        <is>
          <t>Accès HTTP aux fichiers (classé API)</t>
        </is>
      </c>
    </row>
    <row r="6" ht="15" customHeight="1" s="28">
      <c r="A6" s="68" t="inlineStr">
        <is>
          <t>Détail</t>
        </is>
      </c>
      <c r="B6" s="68" t="inlineStr">
        <is>
          <t>Une mesure par jour</t>
        </is>
      </c>
      <c r="C6" s="68" t="inlineStr">
        <is>
          <t>Une mesure par heure</t>
        </is>
      </c>
    </row>
    <row r="7" ht="15" customHeight="1" s="28">
      <c r="A7" s="68" t="inlineStr">
        <is>
          <t>Période</t>
        </is>
      </c>
      <c r="B7" s="68" t="inlineStr">
        <is>
          <t>2010 → 24/08/2025, base figée</t>
        </is>
      </c>
      <c r="C7" s="68" t="inlineStr">
        <is>
          <t>2010 → environ 3 jours avant la date du jour, mise à jour quotidienne</t>
        </is>
      </c>
    </row>
    <row r="8" ht="15" customHeight="1" s="28">
      <c r="A8" s="68" t="inlineStr">
        <is>
          <t>Table propre</t>
        </is>
      </c>
      <c r="B8" s="68" t="inlineStr">
        <is>
          <t>weather_daily</t>
        </is>
      </c>
      <c r="C8" s="68" t="inlineStr">
        <is>
          <t>weather_hourly (et cloud_hourly pour les nuages)</t>
        </is>
      </c>
    </row>
    <row r="9" ht="23.25" customHeight="1" s="28">
      <c r="A9" s="68" t="inlineStr">
        <is>
          <t>Rôle dans le projet</t>
        </is>
      </c>
      <c r="B9" s="68" t="inlineStr">
        <is>
          <t>Collecte SQL sur une base existante (C1.1.2) et contrôle croisé</t>
        </is>
      </c>
      <c r="C9" s="68" t="inlineStr">
        <is>
          <t>Météo récente et horaire pour le modèle</t>
        </is>
      </c>
    </row>
    <row r="10" ht="23.25" customHeight="1" s="28">
      <c r="A10" s="68" t="inlineStr">
        <is>
          <t>Stations</t>
        </is>
      </c>
      <c r="B10" s="68" t="inlineStr">
        <is>
          <t>TROMSO (010260), KIRUNA (020440), ROVANIEMI RAUTATIEASEMA (028470)</t>
        </is>
      </c>
      <c r="C10" s="68" t="inlineStr">
        <is>
          <t>TROMSO (NOM00001026), aéroport de Kiruna (SWI0000ESNQ), gare de Rovaniemi (FIM00002847)</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I22"/>
  <sheetViews>
    <sheetView showFormulas="0" showGridLines="1"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22" customWidth="1" style="27" min="1" max="1"/>
    <col width="13" customWidth="1" style="27" min="2" max="2"/>
    <col width="24" customWidth="1" style="27" min="3" max="3"/>
    <col width="26" customWidth="1" style="27" min="4" max="4"/>
    <col width="34" customWidth="1" style="27" min="5" max="5"/>
    <col width="26" customWidth="1" style="27" min="6" max="6"/>
    <col width="60" customWidth="1" style="27" min="7" max="7"/>
    <col width="32" customWidth="1" style="27" min="8" max="8"/>
    <col width="11" customWidth="1" style="27" min="9" max="9"/>
  </cols>
  <sheetData>
    <row r="1" ht="17.35" customHeight="1" s="28">
      <c r="A1" s="29" t="inlineStr">
        <is>
          <t>Entrepôt PostgreSQL : modèle en étoile (sql/schema.sql)</t>
        </is>
      </c>
    </row>
    <row r="2" ht="15" customHeight="1" s="28">
      <c r="A2" s="49" t="inlineStr">
        <is>
          <t>Généré depuis la base le 29/10/2026 (information_schema), vues ajoutées le 30/10/2026. Hébergement : Neon (AWS US East 2), et Docker en local. Rechargement complet toutes les 3 h (après chaque collecte), en une transaction. Lignes au chargement du 29/10/2026 (environ 213 Mo).</t>
        </is>
      </c>
    </row>
    <row r="4" ht="15" customHeight="1" s="28">
      <c r="A4" s="45" t="inlineStr">
        <is>
          <t>Table</t>
        </is>
      </c>
      <c r="B4" s="45" t="inlineStr">
        <is>
          <t>Type</t>
        </is>
      </c>
      <c r="C4" s="45" t="inlineStr">
        <is>
          <t>Grain</t>
        </is>
      </c>
      <c r="D4" s="45" t="inlineStr">
        <is>
          <t>Clé primaire</t>
        </is>
      </c>
      <c r="E4" s="45" t="inlineStr">
        <is>
          <t>Clés étrangères</t>
        </is>
      </c>
      <c r="F4" s="45" t="inlineStr">
        <is>
          <t>Contraintes</t>
        </is>
      </c>
      <c r="G4" s="45" t="inlineStr">
        <is>
          <t>Colonnes</t>
        </is>
      </c>
      <c r="H4" s="45" t="inlineStr">
        <is>
          <t>Table propre d'origine</t>
        </is>
      </c>
      <c r="I4" s="45" t="inlineStr">
        <is>
          <t>Lignes</t>
        </is>
      </c>
    </row>
    <row r="5" ht="30" customHeight="1" s="28">
      <c r="A5" s="68" t="inlineStr">
        <is>
          <t>dim_location</t>
        </is>
      </c>
      <c r="B5" s="68" t="inlineStr">
        <is>
          <t>Dimension</t>
        </is>
      </c>
      <c r="C5" s="68" t="inlineStr">
        <is>
          <t>un lieu</t>
        </is>
      </c>
      <c r="D5" s="68" t="inlineStr">
        <is>
          <t>location_id</t>
        </is>
      </c>
      <c r="E5" s="68" t="inlineStr">
        <is>
          <t>—</t>
        </is>
      </c>
      <c r="F5" s="68" t="inlineStr">
        <is>
          <t>UNIQUE (code)</t>
        </is>
      </c>
      <c r="G5" s="68" t="inlineStr">
        <is>
          <t>location_id, code, name, lat, lon, station_id, station_name, station_distance_km</t>
        </is>
      </c>
      <c r="H5" s="68" t="inlineStr">
        <is>
          <t>locations (+ data/stations.json)</t>
        </is>
      </c>
      <c r="I5" s="47" t="n">
        <v>3</v>
      </c>
    </row>
    <row r="6" ht="30" customHeight="1" s="28">
      <c r="A6" s="68" t="inlineStr">
        <is>
          <t>dim_time</t>
        </is>
      </c>
      <c r="B6" s="68" t="inlineStr">
        <is>
          <t>Dimension</t>
        </is>
      </c>
      <c r="C6" s="68" t="inlineStr">
        <is>
          <t>une heure UTC, 1932 → J+10</t>
        </is>
      </c>
      <c r="D6" s="68" t="inlineStr">
        <is>
          <t>time_utc</t>
        </is>
      </c>
      <c r="E6" s="68" t="inlineStr">
        <is>
          <t>—</t>
        </is>
      </c>
      <c r="F6" s="68" t="inlineStr">
        <is>
          <t>—</t>
        </is>
      </c>
      <c r="G6" s="68" t="inlineStr">
        <is>
          <t>time_utc, date_utc, year, month, day, hour, day_of_year, iso_week, aurora_season</t>
        </is>
      </c>
      <c r="H6" s="68" t="inlineStr">
        <is>
          <t>calculée au chargement</t>
        </is>
      </c>
      <c r="I6" s="47" t="n">
        <v>831490</v>
      </c>
    </row>
    <row r="7" ht="30" customHeight="1" s="28">
      <c r="A7" s="68" t="inlineStr">
        <is>
          <t>dim_source</t>
        </is>
      </c>
      <c r="B7" s="68" t="inlineStr">
        <is>
          <t>Dimension</t>
        </is>
      </c>
      <c r="C7" s="68" t="inlineStr">
        <is>
          <t>une source</t>
        </is>
      </c>
      <c r="D7" s="68" t="inlineStr">
        <is>
          <t>source_id</t>
        </is>
      </c>
      <c r="E7" s="68" t="inlineStr">
        <is>
          <t>—</t>
        </is>
      </c>
      <c r="F7" s="68" t="inlineStr">
        <is>
          <t>UNIQUE (code)</t>
        </is>
      </c>
      <c r="G7" s="68" t="inlineStr">
        <is>
          <t>source_id, code, name, technique, licence, url</t>
        </is>
      </c>
      <c r="H7" s="68" t="inlineStr">
        <is>
          <t>liste fixe dans warehouse/load.py</t>
        </is>
      </c>
      <c r="I7" s="47" t="n">
        <v>10</v>
      </c>
    </row>
    <row r="8" ht="30" customHeight="1" s="28">
      <c r="A8" s="68" t="inlineStr">
        <is>
          <t>fact_kp</t>
        </is>
      </c>
      <c r="B8" s="68" t="inlineStr">
        <is>
          <t>Fait global</t>
        </is>
      </c>
      <c r="C8" s="68" t="inlineStr">
        <is>
          <t>3 h</t>
        </is>
      </c>
      <c r="D8" s="68" t="inlineStr">
        <is>
          <t>time_utc</t>
        </is>
      </c>
      <c r="E8" s="68" t="inlineStr">
        <is>
          <t>time_utc → dim_time
source_id → dim_source</t>
        </is>
      </c>
      <c r="F8" s="68" t="inlineStr">
        <is>
          <t>CHECK (kp &gt;= (0)) AND (kp &lt;= (9))</t>
        </is>
      </c>
      <c r="G8" s="68" t="inlineStr">
        <is>
          <t>time_utc, kp, ap, status, source_id</t>
        </is>
      </c>
      <c r="H8" s="68" t="inlineStr">
        <is>
          <t>kp_3h</t>
        </is>
      </c>
      <c r="I8" s="47" t="n">
        <v>277083</v>
      </c>
    </row>
    <row r="9" ht="30" customHeight="1" s="28">
      <c r="A9" s="68" t="inlineStr">
        <is>
          <t>fact_kp_forecast</t>
        </is>
      </c>
      <c r="B9" s="68" t="inlineStr">
        <is>
          <t>Fait global</t>
        </is>
      </c>
      <c r="C9" s="68" t="inlineStr">
        <is>
          <t>émission × tranche de 3 h visée</t>
        </is>
      </c>
      <c r="D9" s="68" t="inlineStr">
        <is>
          <t>issued_at, target_time</t>
        </is>
      </c>
      <c r="E9" s="68" t="inlineStr">
        <is>
          <t>target_time → dim_time
source_id → dim_source</t>
        </is>
      </c>
      <c r="F9" s="68" t="inlineStr">
        <is>
          <t>—</t>
        </is>
      </c>
      <c r="G9" s="68" t="inlineStr">
        <is>
          <t>issued_at, target_time, kp, noaa_scale, lead_hours, source_id</t>
        </is>
      </c>
      <c r="H9" s="68" t="inlineStr">
        <is>
          <t>kp_forecast</t>
        </is>
      </c>
      <c r="I9" s="47" t="n">
        <v>54</v>
      </c>
    </row>
    <row r="10" ht="30" customHeight="1" s="28">
      <c r="A10" s="68" t="inlineStr">
        <is>
          <t>fact_solar_daily</t>
        </is>
      </c>
      <c r="B10" s="68" t="inlineStr">
        <is>
          <t>Fait global</t>
        </is>
      </c>
      <c r="C10" s="68" t="inlineStr">
        <is>
          <t>jour (00:00 UTC)</t>
        </is>
      </c>
      <c r="D10" s="68" t="inlineStr">
        <is>
          <t>time_utc</t>
        </is>
      </c>
      <c r="E10" s="68" t="inlineStr">
        <is>
          <t>time_utc → dim_time
source_id → dim_source</t>
        </is>
      </c>
      <c r="F10" s="68" t="inlineStr">
        <is>
          <t>—</t>
        </is>
      </c>
      <c r="G10" s="68" t="inlineStr">
        <is>
          <t>time_utc, ap_daily, sunspot_number, f107_obs, f107_adj, sunspot_status, source_id</t>
        </is>
      </c>
      <c r="H10" s="68" t="inlineStr">
        <is>
          <t>solar_daily</t>
        </is>
      </c>
      <c r="I10" s="47" t="n">
        <v>34633</v>
      </c>
    </row>
    <row r="11" ht="30" customHeight="1" s="28">
      <c r="A11" s="68" t="inlineStr">
        <is>
          <t>fact_solar_wind</t>
        </is>
      </c>
      <c r="B11" s="68" t="inlineStr">
        <is>
          <t>Fait global</t>
        </is>
      </c>
      <c r="C11" s="68" t="inlineStr">
        <is>
          <t>1 h</t>
        </is>
      </c>
      <c r="D11" s="68" t="inlineStr">
        <is>
          <t>time_utc</t>
        </is>
      </c>
      <c r="E11" s="68" t="inlineStr">
        <is>
          <t>time_utc → dim_time
source_id → dim_source</t>
        </is>
      </c>
      <c r="F11" s="68" t="inlineStr">
        <is>
          <t>—</t>
        </is>
      </c>
      <c r="G11" s="68" t="inlineStr">
        <is>
          <t>time_utc, bt, by_gsm, bz_gsm, bz_min, speed, speed_max, density, interpolated, source_id</t>
        </is>
      </c>
      <c r="H11" s="68" t="inlineStr">
        <is>
          <t>solar_wind_hourly</t>
        </is>
      </c>
      <c r="I11" s="47" t="n">
        <v>147490</v>
      </c>
    </row>
    <row r="12" ht="51.75" customHeight="1" s="28">
      <c r="A12" s="68" t="inlineStr">
        <is>
          <t>fact_weather_observed</t>
        </is>
      </c>
      <c r="B12" s="68" t="inlineStr">
        <is>
          <t>Fait par lieu</t>
        </is>
      </c>
      <c r="C12" s="68" t="inlineStr">
        <is>
          <t>lieu × 1 h</t>
        </is>
      </c>
      <c r="D12" s="68" t="inlineStr">
        <is>
          <t>location_id, time_utc</t>
        </is>
      </c>
      <c r="E12" s="68" t="inlineStr">
        <is>
          <t>location_id → dim_location
time_utc → dim_time
source_id → dim_source</t>
        </is>
      </c>
      <c r="F12" s="68" t="inlineStr">
        <is>
          <t>CHECK (oktas &gt;= (0)) AND (oktas &lt;= (8))</t>
        </is>
      </c>
      <c r="G12" s="68" t="inlineStr">
        <is>
          <t>location_id, time_utc, oktas, cloud_cover_pct, obscured, temp_c, dewpoint_c, rel_humidity_pct, pressure_hpa, wind_speed_ms, wind_dir_deg, visibility_km, visibility_capped, fog, mist, present_weather, n_obs, source_id</t>
        </is>
      </c>
      <c r="H12" s="68" t="inlineStr">
        <is>
          <t>cloud_hourly + weather_hourly (fusionnées)</t>
        </is>
      </c>
      <c r="I12" s="47" t="n">
        <v>442262</v>
      </c>
    </row>
    <row r="13" ht="64.5" customHeight="1" s="28">
      <c r="A13" s="68" t="inlineStr">
        <is>
          <t>fact_weather_daily</t>
        </is>
      </c>
      <c r="B13" s="68" t="inlineStr">
        <is>
          <t>Fait par lieu</t>
        </is>
      </c>
      <c r="C13" s="68" t="inlineStr">
        <is>
          <t>lieu × jour</t>
        </is>
      </c>
      <c r="D13" s="68" t="inlineStr">
        <is>
          <t>location_id, time_utc</t>
        </is>
      </c>
      <c r="E13" s="68" t="inlineStr">
        <is>
          <t>source_id → dim_source
location_id → dim_location
time_utc → dim_time</t>
        </is>
      </c>
      <c r="F13" s="68" t="inlineStr">
        <is>
          <t>—</t>
        </is>
      </c>
      <c r="G13" s="68" t="inlineStr">
        <is>
          <t>location_id, time_utc, station_id, temp_c, temp_max_c, temp_min_c, dewpoint_c, rel_humidity_pct, visibility_km, wind_mean_ms, wind_max_ms, precip_mm, precip_flag, precip_suspect, fog, rain, snow, hail, thunder, source_id</t>
        </is>
      </c>
      <c r="H13" s="68" t="inlineStr">
        <is>
          <t>weather_daily</t>
        </is>
      </c>
      <c r="I13" s="47" t="n">
        <v>17145</v>
      </c>
    </row>
    <row r="14" ht="78" customHeight="1" s="28">
      <c r="A14" s="68" t="inlineStr">
        <is>
          <t>fact_weather_forecast</t>
        </is>
      </c>
      <c r="B14" s="68" t="inlineStr">
        <is>
          <t>Fait par lieu</t>
        </is>
      </c>
      <c r="C14" s="68" t="inlineStr">
        <is>
          <t>lieu × émission × heure visée</t>
        </is>
      </c>
      <c r="D14" s="68" t="inlineStr">
        <is>
          <t>location_id, issued_at, target_time</t>
        </is>
      </c>
      <c r="E14" s="68" t="inlineStr">
        <is>
          <t>target_time → dim_time
location_id → dim_location
source_id → dim_source</t>
        </is>
      </c>
      <c r="F14" s="68" t="inlineStr">
        <is>
          <t>—</t>
        </is>
      </c>
      <c r="G14" s="68" t="inlineStr">
        <is>
          <t>location_id, issued_at, target_time, lead_hours, step_hours, cloud_cover_pct, cloud_low_pct, cloud_medium_pct, cloud_high_pct, fog_pct, temp_c, dewpoint_c, rel_humidity_pct, pressure_hpa, wind_speed_ms, wind_dir_deg, wind_gust_ms, precip_mm, precip_probability_pct, symbol_code, source_id</t>
        </is>
      </c>
      <c r="H14" s="68" t="inlineStr">
        <is>
          <t>weather_forecast</t>
        </is>
      </c>
      <c r="I14" s="47" t="n">
        <v>246</v>
      </c>
    </row>
    <row r="15" ht="45" customHeight="1" s="28">
      <c r="A15" s="68" t="inlineStr">
        <is>
          <t>fact_astronomy</t>
        </is>
      </c>
      <c r="B15" s="68" t="inlineStr">
        <is>
          <t>Fait par lieu</t>
        </is>
      </c>
      <c r="C15" s="68" t="inlineStr">
        <is>
          <t>lieu × 1 h</t>
        </is>
      </c>
      <c r="D15" s="68" t="inlineStr">
        <is>
          <t>location_id, time_utc</t>
        </is>
      </c>
      <c r="E15" s="68" t="inlineStr">
        <is>
          <t>location_id → dim_location
time_utc → dim_time
source_id → dim_source</t>
        </is>
      </c>
      <c r="F15" s="68" t="inlineStr">
        <is>
          <t>—</t>
        </is>
      </c>
      <c r="G15" s="68" t="inlineStr">
        <is>
          <t>location_id, time_utc, sun_alt_deg, night_phase, moon_alt_deg, moon_illum_pct, moon_up, polar_night, midnight_sun, source_id</t>
        </is>
      </c>
      <c r="H15" s="68" t="inlineStr">
        <is>
          <t>astronomy_hourly</t>
        </is>
      </c>
      <c r="I15" s="47" t="n">
        <v>443190</v>
      </c>
    </row>
    <row r="16" ht="30" customHeight="1" s="28">
      <c r="A16" s="68" t="inlineStr">
        <is>
          <t>load_run</t>
        </is>
      </c>
      <c r="B16" s="68" t="inlineStr">
        <is>
          <t>Suivi</t>
        </is>
      </c>
      <c r="C16" s="68" t="inlineStr">
        <is>
          <t>un chargement</t>
        </is>
      </c>
      <c r="D16" s="68" t="inlineStr">
        <is>
          <t>run_id</t>
        </is>
      </c>
      <c r="E16" s="68" t="inlineStr">
        <is>
          <t>—</t>
        </is>
      </c>
      <c r="F16" s="68" t="inlineStr">
        <is>
          <t>—</t>
        </is>
      </c>
      <c r="G16" s="68" t="inlineStr">
        <is>
          <t>run_id, started_at, finished_at, rows_loaded, database_mb</t>
        </is>
      </c>
      <c r="H16" s="68" t="inlineStr">
        <is>
          <t>écrite par warehouse/load.py</t>
        </is>
      </c>
      <c r="I16" s="47" t="n"/>
    </row>
    <row r="17" ht="39" customHeight="1" s="28">
      <c r="A17" s="68" t="inlineStr">
        <is>
          <t>v_aurora_conditions</t>
        </is>
      </c>
      <c r="B17" s="68" t="inlineStr">
        <is>
          <t>Vue</t>
        </is>
      </c>
      <c r="C17" s="68" t="inlineStr">
        <is>
          <t>lieu × 1 h</t>
        </is>
      </c>
      <c r="D17" s="68" t="inlineStr">
        <is>
          <t>—</t>
        </is>
      </c>
      <c r="E17" s="68" t="inlineStr">
        <is>
          <t>—</t>
        </is>
      </c>
      <c r="F17" s="68" t="inlineStr">
        <is>
          <t>—</t>
        </is>
      </c>
      <c r="G17" s="68" t="inlineStr">
        <is>
          <t>location, time_utc, kp, kp_ge_4, oktas, fog, sun_alt_deg, night_phase, moon_alt_deg, moon_illum_pct, dark_sky, clear_sky</t>
        </is>
      </c>
      <c r="H17" s="68" t="inlineStr">
        <is>
          <t>fact_astronomy + fact_weather_observed + fact_kp + dim_location</t>
        </is>
      </c>
      <c r="I17" s="47" t="n"/>
    </row>
    <row r="18" s="28">
      <c r="A18" s="68" t="inlineStr">
        <is>
          <t>v_formule_valeurs</t>
        </is>
      </c>
      <c r="B18" s="68" t="inlineStr">
        <is>
          <t>Vue</t>
        </is>
      </c>
      <c r="C18" s="68" t="inlineStr">
        <is>
          <t>une variable de la formule</t>
        </is>
      </c>
      <c r="D18" s="68" t="inlineStr">
        <is>
          <t>—</t>
        </is>
      </c>
      <c r="E18" s="68" t="inlineStr">
        <is>
          <t>—</t>
        </is>
      </c>
      <c r="F18" s="68" t="inlineStr">
        <is>
          <t>—</t>
        </is>
      </c>
      <c r="G18" s="68" t="inlineStr">
        <is>
          <t>variable, derniere_valeur, heure_utc, moyenne, minimum, maximum, nb_valeurs</t>
        </is>
      </c>
      <c r="H18" s="68" t="inlineStr">
        <is>
          <t>fact_kp + fact_solar_wind + fact_solar_daily</t>
        </is>
      </c>
      <c r="I18" s="68" t="n"/>
    </row>
    <row r="19" s="28">
      <c r="A19" s="68" t="inlineStr">
        <is>
          <t>v_training_kp</t>
        </is>
      </c>
      <c r="B19" s="68" t="inlineStr">
        <is>
          <t>Vue</t>
        </is>
      </c>
      <c r="C19" s="68" t="inlineStr">
        <is>
          <t>tranche de 3 h, depuis 2010 (49 163 lignes)</t>
        </is>
      </c>
      <c r="D19" s="68" t="inlineStr">
        <is>
          <t>—</t>
        </is>
      </c>
      <c r="E19" s="68" t="inlineStr">
        <is>
          <t>—</t>
        </is>
      </c>
      <c r="F19" s="68" t="inlineStr">
        <is>
          <t>—</t>
        </is>
      </c>
      <c r="G19" s="68" t="inlineStr">
        <is>
          <t>time_utc, issued_at, kp_max_next_6h/24h/48h, aurora_kp4_6h/24h/48h, kp, kp_mean_24h, kp_max_24h, kp_max_24h_27d, bz_mean_3h, bz_min_6h, bt_mean_3h, speed_mean_6h, density_mean_6h, f107, doy_sin, doy_cos</t>
        </is>
      </c>
      <c r="H19" s="68" t="inlineStr">
        <is>
          <t>fact_kp + fact_solar_wind + fact_solar_daily (table d'entraînement des modèles, sans fuite du futur)</t>
        </is>
      </c>
      <c r="I19" s="68" t="n"/>
    </row>
    <row r="20" ht="15" customHeight="1" s="28"/>
    <row r="21" ht="15" customHeight="1" s="28">
      <c r="A21" s="40" t="inlineStr">
        <is>
          <t>Total des lignes (tables chargées)</t>
        </is>
      </c>
      <c r="I21" s="48">
        <f>SUM(I5:I17)</f>
        <v/>
      </c>
    </row>
    <row r="22" ht="15" customHeight="1" s="28">
      <c r="A22" s="49" t="inlineStr">
        <is>
          <t>Nombres de lignes du chargement du 29/10/2026 ; chaque chargement les enregistre dans la table load_run.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fitToPage="1"/>
  </sheetPr>
  <dimension ref="A1:H57"/>
  <sheetViews>
    <sheetView workbookViewId="0">
      <pane ySplit="3" topLeftCell="A4" activePane="bottomLeft" state="frozen"/>
      <selection pane="bottomLeft" activeCell="A1" sqref="A1"/>
    </sheetView>
  </sheetViews>
  <sheetFormatPr baseColWidth="8" defaultRowHeight="15"/>
  <cols>
    <col width="30" customWidth="1" style="28" min="1" max="1"/>
    <col width="16" customWidth="1" style="28" min="2" max="2"/>
    <col width="16" customWidth="1" style="28" min="3" max="3"/>
    <col width="16" customWidth="1" style="28" min="4" max="4"/>
    <col width="16" customWidth="1" style="28" min="5" max="5"/>
    <col width="16" customWidth="1" style="28" min="6" max="6"/>
    <col width="16" customWidth="1" style="28" min="7" max="7"/>
    <col width="40" customWidth="1" style="28" min="8" max="8"/>
  </cols>
  <sheetData>
    <row r="1">
      <c r="A1" s="50" t="inlineStr">
        <is>
          <t>AuroraCast – Modèles de prévision des aurores</t>
        </is>
      </c>
    </row>
    <row r="2">
      <c r="A2" s="51" t="inlineStr">
        <is>
          <t>Mis à jour le 30/10/2026. Question : une belle aurore (Kp ≥ 4) aura-t-elle lieu dans les 6, 24 ou 48 prochaines heures ? Code : src/auroracast/model/train.py</t>
        </is>
      </c>
    </row>
    <row r="4">
      <c r="A4" s="52" t="inlineStr">
        <is>
          <t>1. Données d'entraînement (vue v_training_kp, une ligne par tranche de 3 h depuis 2010)</t>
        </is>
      </c>
    </row>
    <row r="5" ht="15" customHeight="1" s="28">
      <c r="A5" s="53" t="inlineStr">
        <is>
          <t>Variable</t>
        </is>
      </c>
      <c r="B5" s="53" t="inlineStr">
        <is>
          <t>Rôle</t>
        </is>
      </c>
      <c r="C5" s="53" t="inlineStr">
        <is>
          <t>Table source</t>
        </is>
      </c>
      <c r="D5" s="53" t="inlineStr">
        <is>
          <t>Fenêtre</t>
        </is>
      </c>
      <c r="E5" s="54" t="n"/>
      <c r="F5" s="54" t="n"/>
      <c r="G5" s="55" t="n"/>
      <c r="H5" s="53" t="inlineStr">
        <is>
          <t>Contenu</t>
        </is>
      </c>
    </row>
    <row r="6" ht="26" customHeight="1" s="28">
      <c r="A6" s="56" t="inlineStr">
        <is>
          <t>aurora_kp4_6h / 24h / 48h</t>
        </is>
      </c>
      <c r="B6" s="57" t="inlineStr">
        <is>
          <t>Cible</t>
        </is>
      </c>
      <c r="C6" s="57" t="inlineStr">
        <is>
          <t>fact_kp</t>
        </is>
      </c>
      <c r="D6" s="57" t="inlineStr">
        <is>
          <t>2, 8 ou 16 tranches suivantes</t>
        </is>
      </c>
      <c r="E6" s="54" t="n"/>
      <c r="F6" s="54" t="n"/>
      <c r="G6" s="55" t="n"/>
      <c r="H6" s="57" t="inlineStr">
        <is>
          <t>Vrai si le Kp atteint 4 au moins une fois dans les 6, 24 ou 48 h suivantes</t>
        </is>
      </c>
    </row>
    <row r="7" ht="15" customHeight="1" s="28">
      <c r="A7" s="56" t="inlineStr">
        <is>
          <t>kp</t>
        </is>
      </c>
      <c r="B7" s="57" t="inlineStr">
        <is>
          <t>Variable</t>
        </is>
      </c>
      <c r="C7" s="57" t="inlineStr">
        <is>
          <t>fact_kp</t>
        </is>
      </c>
      <c r="D7" s="57" t="inlineStr">
        <is>
          <t>tranche en cours</t>
        </is>
      </c>
      <c r="E7" s="54" t="n"/>
      <c r="F7" s="54" t="n"/>
      <c r="G7" s="55" t="n"/>
      <c r="H7" s="57" t="inlineStr">
        <is>
          <t>Kp de la tranche, connu à sa fin</t>
        </is>
      </c>
    </row>
    <row r="8" ht="15" customHeight="1" s="28">
      <c r="A8" s="56" t="inlineStr">
        <is>
          <t>kp_mean_24h, kp_max_24h</t>
        </is>
      </c>
      <c r="B8" s="57" t="inlineStr">
        <is>
          <t>Variable</t>
        </is>
      </c>
      <c r="C8" s="57" t="inlineStr">
        <is>
          <t>fact_kp</t>
        </is>
      </c>
      <c r="D8" s="57" t="inlineStr">
        <is>
          <t>24 h passées</t>
        </is>
      </c>
      <c r="E8" s="54" t="n"/>
      <c r="F8" s="54" t="n"/>
      <c r="G8" s="55" t="n"/>
      <c r="H8" s="57" t="inlineStr">
        <is>
          <t>Moyenne et maximum du Kp sur les 8 dernières tranches</t>
        </is>
      </c>
    </row>
    <row r="9" ht="15" customHeight="1" s="28">
      <c r="A9" s="56" t="inlineStr">
        <is>
          <t>kp_max_24h_27d</t>
        </is>
      </c>
      <c r="B9" s="57" t="inlineStr">
        <is>
          <t>Variable</t>
        </is>
      </c>
      <c r="C9" s="57" t="inlineStr">
        <is>
          <t>fact_kp</t>
        </is>
      </c>
      <c r="D9" s="57" t="inlineStr">
        <is>
          <t>24 h, il y a 27 jours</t>
        </is>
      </c>
      <c r="E9" s="54" t="n"/>
      <c r="F9" s="54" t="n"/>
      <c r="G9" s="55" t="n"/>
      <c r="H9" s="57" t="inlineStr">
        <is>
          <t>Récurrence : le Soleil tourne sur lui-même en 27 jours</t>
        </is>
      </c>
    </row>
    <row r="10" ht="26" customHeight="1" s="28">
      <c r="A10" s="56" t="inlineStr">
        <is>
          <t>bz_mean_3h, bz_min_6h</t>
        </is>
      </c>
      <c r="B10" s="57" t="inlineStr">
        <is>
          <t>Variable</t>
        </is>
      </c>
      <c r="C10" s="57" t="inlineStr">
        <is>
          <t>fact_solar_wind</t>
        </is>
      </c>
      <c r="D10" s="57" t="inlineStr">
        <is>
          <t>3 h et 6 h passées</t>
        </is>
      </c>
      <c r="E10" s="54" t="n"/>
      <c r="F10" s="54" t="n"/>
      <c r="G10" s="55" t="n"/>
      <c r="H10" s="57" t="inlineStr">
        <is>
          <t>Bz du vent solaire (négatif = orienté vers le sud = aurores)</t>
        </is>
      </c>
    </row>
    <row r="11" ht="15" customHeight="1" s="28">
      <c r="A11" s="56" t="inlineStr">
        <is>
          <t>bt_mean_3h</t>
        </is>
      </c>
      <c r="B11" s="57" t="inlineStr">
        <is>
          <t>Variable</t>
        </is>
      </c>
      <c r="C11" s="57" t="inlineStr">
        <is>
          <t>fact_solar_wind</t>
        </is>
      </c>
      <c r="D11" s="57" t="inlineStr">
        <is>
          <t>3 h passées</t>
        </is>
      </c>
      <c r="E11" s="54" t="n"/>
      <c r="F11" s="54" t="n"/>
      <c r="G11" s="55" t="n"/>
      <c r="H11" s="57" t="inlineStr">
        <is>
          <t>Intensité du champ magnétique du vent solaire</t>
        </is>
      </c>
    </row>
    <row r="12" ht="15" customHeight="1" s="28">
      <c r="A12" s="56" t="inlineStr">
        <is>
          <t>speed_mean_6h, density_mean_6h</t>
        </is>
      </c>
      <c r="B12" s="57" t="inlineStr">
        <is>
          <t>Variable</t>
        </is>
      </c>
      <c r="C12" s="57" t="inlineStr">
        <is>
          <t>fact_solar_wind</t>
        </is>
      </c>
      <c r="D12" s="57" t="inlineStr">
        <is>
          <t>6 h passées</t>
        </is>
      </c>
      <c r="E12" s="54" t="n"/>
      <c r="F12" s="54" t="n"/>
      <c r="G12" s="55" t="n"/>
      <c r="H12" s="57" t="inlineStr">
        <is>
          <t>Vitesse et densité du vent solaire</t>
        </is>
      </c>
    </row>
    <row r="13" ht="15" customHeight="1" s="28">
      <c r="A13" s="56" t="inlineStr">
        <is>
          <t>f107</t>
        </is>
      </c>
      <c r="B13" s="57" t="inlineStr">
        <is>
          <t>Variable</t>
        </is>
      </c>
      <c r="C13" s="57" t="inlineStr">
        <is>
          <t>fact_solar_daily</t>
        </is>
      </c>
      <c r="D13" s="57" t="inlineStr">
        <is>
          <t>veille (4 jours au plus)</t>
        </is>
      </c>
      <c r="E13" s="54" t="n"/>
      <c r="F13" s="54" t="n"/>
      <c r="G13" s="55" t="n"/>
      <c r="H13" s="57" t="inlineStr">
        <is>
          <t>Flux solaire F10.7 (activité du Soleil)</t>
        </is>
      </c>
    </row>
    <row r="14" ht="15" customHeight="1" s="28">
      <c r="A14" s="56" t="inlineStr">
        <is>
          <t>doy_sin, doy_cos</t>
        </is>
      </c>
      <c r="B14" s="57" t="inlineStr">
        <is>
          <t>Variable</t>
        </is>
      </c>
      <c r="C14" s="57" t="inlineStr">
        <is>
          <t>calcul</t>
        </is>
      </c>
      <c r="D14" s="57" t="inlineStr">
        <is>
          <t>jour de l'année</t>
        </is>
      </c>
      <c r="E14" s="54" t="n"/>
      <c r="F14" s="54" t="n"/>
      <c r="G14" s="55" t="n"/>
      <c r="H14" s="57" t="inlineStr">
        <is>
          <t>Saison</t>
        </is>
      </c>
    </row>
    <row r="15"/>
    <row r="16">
      <c r="A16" s="52" t="inlineStr">
        <is>
          <t>2. Méthode</t>
        </is>
      </c>
    </row>
    <row r="17">
      <c r="A17" s="53" t="inlineStr">
        <is>
          <t>Élément</t>
        </is>
      </c>
      <c r="B17" s="53" t="inlineStr">
        <is>
          <t>Choix</t>
        </is>
      </c>
      <c r="C17" s="53" t="inlineStr"/>
      <c r="D17" s="53" t="inlineStr"/>
      <c r="E17" s="53" t="inlineStr"/>
      <c r="F17" s="53" t="inlineStr"/>
      <c r="G17" s="53" t="inlineStr"/>
      <c r="H17" s="53" t="inlineStr">
        <is>
          <t>Justification</t>
        </is>
      </c>
    </row>
    <row r="18" ht="39" customHeight="1" s="28">
      <c r="A18" s="56" t="inlineStr">
        <is>
          <t>Modèle</t>
        </is>
      </c>
      <c r="B18" s="57" t="inlineStr">
        <is>
          <t>Régression logistique (scikit-learn), variables centrées-réduites, valeurs manquantes remplacées par la médiane</t>
        </is>
      </c>
      <c r="C18" s="54" t="n"/>
      <c r="D18" s="54" t="n"/>
      <c r="E18" s="54" t="n"/>
      <c r="F18" s="54" t="n"/>
      <c r="G18" s="55" t="n"/>
      <c r="H18" s="57" t="inlineStr">
        <is>
          <t>Simple, rapide, coefficients lisibles ; donne une probabilité</t>
        </is>
      </c>
    </row>
    <row r="19" ht="26" customHeight="1" s="28">
      <c r="A19" s="56" t="inlineStr">
        <is>
          <t>Découpage dans le temps</t>
        </is>
      </c>
      <c r="B19" s="57" t="inlineStr">
        <is>
          <t>Apprentissage 2010-2021, validation 2022-2023, test 2024 → aujourd'hui</t>
        </is>
      </c>
      <c r="C19" s="54" t="n"/>
      <c r="D19" s="54" t="n"/>
      <c r="E19" s="54" t="n"/>
      <c r="F19" s="54" t="n"/>
      <c r="G19" s="55" t="n"/>
      <c r="H19" s="57" t="inlineStr">
        <is>
          <t>Jamais de mélange passé / futur ; le test n'est vu qu'une fois</t>
        </is>
      </c>
    </row>
    <row r="20" ht="26" customHeight="1" s="28">
      <c r="A20" s="56" t="inlineStr">
        <is>
          <t>Seuil d'alerte</t>
        </is>
      </c>
      <c r="B20" s="57" t="inlineStr">
        <is>
          <t>Choisi sur la validation (F1 maximal) : 0,21 (6 h), 0,24 (24 h), 0,17 (48 h)</t>
        </is>
      </c>
      <c r="C20" s="54" t="n"/>
      <c r="D20" s="54" t="n"/>
      <c r="E20" s="54" t="n"/>
      <c r="F20" s="54" t="n"/>
      <c r="G20" s="55" t="n"/>
      <c r="H20" s="57" t="inlineStr">
        <is>
          <t>Équilibre entre aurores manquées et fausses alertes</t>
        </is>
      </c>
    </row>
    <row r="21" ht="26" customHeight="1" s="28">
      <c r="A21" s="56" t="inlineStr">
        <is>
          <t>Références</t>
        </is>
      </c>
      <c r="B21" s="57" t="inlineStr">
        <is>
          <t>Persistance (« demain = aujourd'hui ») et climatologie (fréquence du mois)</t>
        </is>
      </c>
      <c r="C21" s="54" t="n"/>
      <c r="D21" s="54" t="n"/>
      <c r="E21" s="54" t="n"/>
      <c r="F21" s="54" t="n"/>
      <c r="G21" s="55" t="n"/>
      <c r="H21" s="57" t="inlineStr">
        <is>
          <t>Le modèle doit faire mieux que ces méthodes simples</t>
        </is>
      </c>
    </row>
    <row r="22" ht="26" customHeight="1" s="28">
      <c r="A22" s="56" t="inlineStr">
        <is>
          <t>Pas de fuite</t>
        </is>
      </c>
      <c r="B22" s="57" t="inlineStr">
        <is>
          <t>Variables calculées avec les seules mesures connues à la fin de la tranche ; F10.7 de la veille</t>
        </is>
      </c>
      <c r="C22" s="54" t="n"/>
      <c r="D22" s="54" t="n"/>
      <c r="E22" s="54" t="n"/>
      <c r="F22" s="54" t="n"/>
      <c r="G22" s="55" t="n"/>
      <c r="H22" s="57" t="inlineStr">
        <is>
          <t>Vérifié par un test automatique (tempête fictive)</t>
        </is>
      </c>
    </row>
    <row r="23"/>
    <row r="24" ht="26" customHeight="1" s="28">
      <c r="A24" s="52" t="inlineStr">
        <is>
          <t>3. Résultats sur le test (2024 → 29/10/2026, jamais vu à l'apprentissage)</t>
        </is>
      </c>
    </row>
    <row r="25">
      <c r="A25" s="53" t="inlineStr">
        <is>
          <t>Horizon / méthode</t>
        </is>
      </c>
      <c r="B25" s="53" t="inlineStr">
        <is>
          <t>ROC AUC</t>
        </is>
      </c>
      <c r="C25" s="53" t="inlineStr">
        <is>
          <t>PR AUC</t>
        </is>
      </c>
      <c r="D25" s="53" t="inlineStr">
        <is>
          <t>Brier</t>
        </is>
      </c>
      <c r="E25" s="53" t="inlineStr">
        <is>
          <t>Précision</t>
        </is>
      </c>
      <c r="F25" s="53" t="inlineStr">
        <is>
          <t>Rappel</t>
        </is>
      </c>
      <c r="G25" s="53" t="inlineStr">
        <is>
          <t>F1</t>
        </is>
      </c>
      <c r="H25" s="53" t="inlineStr">
        <is>
          <t>Lecture</t>
        </is>
      </c>
    </row>
    <row r="26">
      <c r="A26" s="56" t="inlineStr">
        <is>
          <t>6 h – Régression logistique</t>
        </is>
      </c>
      <c r="B26" s="58" t="n">
        <v>0.9056478526539743</v>
      </c>
      <c r="C26" s="58" t="n">
        <v>0.7285084974676462</v>
      </c>
      <c r="D26" s="58" t="n">
        <v>0.07663614021027197</v>
      </c>
      <c r="E26" s="58" t="n">
        <v>0.544973544973545</v>
      </c>
      <c r="F26" s="58" t="n">
        <v>0.7692307692307693</v>
      </c>
      <c r="G26" s="58" t="n">
        <v>0.6379684112728399</v>
      </c>
      <c r="H26" s="56" t="inlineStr">
        <is>
          <t>Repère 77 % des belles aurores, 1 alerte sur 2 juste</t>
        </is>
      </c>
    </row>
    <row r="27">
      <c r="A27" s="56" t="inlineStr">
        <is>
          <t>6 h – Persistance</t>
        </is>
      </c>
      <c r="B27" s="59" t="n">
        <v>0.7577966020820879</v>
      </c>
      <c r="C27" s="59" t="n">
        <v>0.3252441967566983</v>
      </c>
      <c r="D27" s="59" t="n">
        <v>0.2418553954220661</v>
      </c>
      <c r="E27" s="59" t="n">
        <v>0.3775130305286671</v>
      </c>
      <c r="F27" s="59" t="n">
        <v>0.7572815533980582</v>
      </c>
      <c r="G27" s="59" t="n">
        <v>0.5038509316770186</v>
      </c>
      <c r="H27" s="57" t="inlineStr"/>
    </row>
    <row r="28">
      <c r="A28" s="56" t="inlineStr">
        <is>
          <t>6 h – Climatologie</t>
        </is>
      </c>
      <c r="B28" s="59" t="n">
        <v>0.5322810082301994</v>
      </c>
      <c r="C28" s="59" t="n">
        <v>0.17285711190614</v>
      </c>
      <c r="D28" s="59" t="n">
        <v>0.1427476615060749</v>
      </c>
      <c r="E28" s="59" t="n">
        <v>0.1820998278829604</v>
      </c>
      <c r="F28" s="59" t="n">
        <v>0.3950709484690067</v>
      </c>
      <c r="G28" s="59" t="n">
        <v>0.2492931196983977</v>
      </c>
      <c r="H28" s="57" t="inlineStr"/>
    </row>
    <row r="29">
      <c r="A29" s="56" t="inlineStr">
        <is>
          <t>24 h – Régression logistique</t>
        </is>
      </c>
      <c r="B29" s="58" t="n">
        <v>0.8137095333398909</v>
      </c>
      <c r="C29" s="58" t="n">
        <v>0.7177284367770072</v>
      </c>
      <c r="D29" s="58" t="n">
        <v>0.1548432554107476</v>
      </c>
      <c r="E29" s="58" t="n">
        <v>0.5380866888945883</v>
      </c>
      <c r="F29" s="58" t="n">
        <v>0.7813780260707635</v>
      </c>
      <c r="G29" s="58" t="n">
        <v>0.6373025516403402</v>
      </c>
      <c r="H29" s="56" t="inlineStr">
        <is>
          <t>Repère 78 % des belles aurores, 1 alerte sur 2 juste</t>
        </is>
      </c>
    </row>
    <row r="30">
      <c r="A30" s="56" t="inlineStr">
        <is>
          <t>24 h – Persistance</t>
        </is>
      </c>
      <c r="B30" s="59" t="n">
        <v>0.6791390732908167</v>
      </c>
      <c r="C30" s="59" t="n">
        <v>0.4624561989317815</v>
      </c>
      <c r="D30" s="59" t="n">
        <v>0.281784026178645</v>
      </c>
      <c r="E30" s="59" t="n">
        <v>0.5670141474311243</v>
      </c>
      <c r="F30" s="59" t="n">
        <v>0.5672253258845438</v>
      </c>
      <c r="G30" s="59" t="n">
        <v>0.5671197169986967</v>
      </c>
      <c r="H30" s="57" t="inlineStr"/>
    </row>
    <row r="31">
      <c r="A31" s="56" t="inlineStr">
        <is>
          <t>24 h – Climatologie</t>
        </is>
      </c>
      <c r="B31" s="59" t="n">
        <v>0.5392700828587507</v>
      </c>
      <c r="C31" s="59" t="n">
        <v>0.3462431576427362</v>
      </c>
      <c r="D31" s="59" t="n">
        <v>0.2411628963065338</v>
      </c>
      <c r="E31" s="59" t="n">
        <v>0.3487403706017073</v>
      </c>
      <c r="F31" s="59" t="n">
        <v>0.6238361266294227</v>
      </c>
      <c r="G31" s="59" t="n">
        <v>0.4473824786324787</v>
      </c>
      <c r="H31" s="57" t="inlineStr"/>
    </row>
    <row r="32" ht="26" customHeight="1" s="28">
      <c r="A32" s="56" t="inlineStr">
        <is>
          <t>48 h – Régression logistique</t>
        </is>
      </c>
      <c r="B32" s="58" t="n">
        <v>0.7467976379741086</v>
      </c>
      <c r="C32" s="58" t="n">
        <v>0.7385166359257057</v>
      </c>
      <c r="D32" s="58" t="n">
        <v>0.2029638649147235</v>
      </c>
      <c r="E32" s="58" t="n">
        <v>0.488060876410391</v>
      </c>
      <c r="F32" s="58" t="n">
        <v>0.96875</v>
      </c>
      <c r="G32" s="58" t="n">
        <v>0.6491013784679812</v>
      </c>
      <c r="H32" s="56" t="inlineStr">
        <is>
          <t>Alerte souvent : repère 97 % des belles aurores, 1 alerte sur 2 juste</t>
        </is>
      </c>
    </row>
    <row r="33">
      <c r="A33" s="56" t="inlineStr">
        <is>
          <t>48 h – Persistance</t>
        </is>
      </c>
      <c r="B33" s="59" t="n">
        <v>0.6249861600045424</v>
      </c>
      <c r="C33" s="59" t="n">
        <v>0.5535393695582678</v>
      </c>
      <c r="D33" s="59" t="n">
        <v>0.3637025354846536</v>
      </c>
      <c r="E33" s="59" t="n">
        <v>0.6567386448250186</v>
      </c>
      <c r="F33" s="59" t="n">
        <v>0.459375</v>
      </c>
      <c r="G33" s="59" t="n">
        <v>0.5406068035550107</v>
      </c>
      <c r="H33" s="57" t="inlineStr"/>
    </row>
    <row r="34">
      <c r="A34" s="56" t="inlineStr">
        <is>
          <t>48 h – Climatologie</t>
        </is>
      </c>
      <c r="B34" s="59" t="n">
        <v>0.5298994766825649</v>
      </c>
      <c r="C34" s="59" t="n">
        <v>0.4813291289094839</v>
      </c>
      <c r="D34" s="59" t="n">
        <v>0.2855503975201313</v>
      </c>
      <c r="E34" s="59" t="n">
        <v>0.4765100671140939</v>
      </c>
      <c r="F34" s="59" t="n">
        <v>0.8690104166666667</v>
      </c>
      <c r="G34" s="59" t="n">
        <v>0.6155123120907497</v>
      </c>
      <c r="H34" s="57" t="inlineStr"/>
    </row>
    <row r="35"/>
    <row r="36" ht="26" customHeight="1" s="28">
      <c r="A36" s="52" t="inlineStr">
        <is>
          <t>4. Cycle de vie (workflow « Entraînement des modèles (quotidien) », chaque jour à 10:13 UTC, dans le cloud)</t>
        </is>
      </c>
    </row>
    <row r="37">
      <c r="A37" s="53" t="inlineStr">
        <is>
          <t>Étape</t>
        </is>
      </c>
      <c r="B37" s="53" t="inlineStr">
        <is>
          <t>Ce qui est fait</t>
        </is>
      </c>
      <c r="C37" s="53" t="inlineStr"/>
      <c r="D37" s="53" t="inlineStr"/>
      <c r="E37" s="53" t="inlineStr"/>
      <c r="F37" s="53" t="inlineStr"/>
      <c r="G37" s="53" t="inlineStr"/>
      <c r="H37" s="53" t="inlineStr">
        <is>
          <t>Où</t>
        </is>
      </c>
    </row>
    <row r="38" ht="26" customHeight="1" s="28">
      <c r="A38" s="56" t="inlineStr">
        <is>
          <t>1. Évaluation</t>
        </is>
      </c>
      <c r="B38" s="57" t="inlineStr">
        <is>
          <t>Apprentissage 2010-2021, seuil sur 2022-2023, note sur 2024 → veille, comparée aux références</t>
        </is>
      </c>
      <c r="C38" s="54" t="n"/>
      <c r="D38" s="54" t="n"/>
      <c r="E38" s="54" t="n"/>
      <c r="F38" s="54" t="n"/>
      <c r="G38" s="55" t="n"/>
      <c r="H38" s="57" t="inlineStr">
        <is>
          <t>GitHub Actions, lecture de Neon</t>
        </is>
      </c>
    </row>
    <row r="39" ht="26" customHeight="1" s="28">
      <c r="A39" s="56" t="inlineStr">
        <is>
          <t>2. Contrôle qualité</t>
        </is>
      </c>
      <c r="B39" s="57" t="inlineStr">
        <is>
          <t>ROC AUC du test &lt; 0,70 → rien n'est publié, l'ancien modèle reste en service, le run échoue</t>
        </is>
      </c>
      <c r="C39" s="54" t="n"/>
      <c r="D39" s="54" t="n"/>
      <c r="E39" s="54" t="n"/>
      <c r="F39" s="54" t="n"/>
      <c r="G39" s="55" t="n"/>
      <c r="H39" s="57" t="inlineStr">
        <is>
          <t>GitHub Actions</t>
        </is>
      </c>
    </row>
    <row r="40" ht="26" customHeight="1" s="28">
      <c r="A40" s="56" t="inlineStr">
        <is>
          <t>3. Modèle de production</t>
        </is>
      </c>
      <c r="B40" s="57" t="inlineStr">
        <is>
          <t>Réappris sur toutes les tranches connues (jusqu'à la veille), même seuil</t>
        </is>
      </c>
      <c r="C40" s="54" t="n"/>
      <c r="D40" s="54" t="n"/>
      <c r="E40" s="54" t="n"/>
      <c r="F40" s="54" t="n"/>
      <c r="G40" s="55" t="n"/>
      <c r="H40" s="57" t="inlineStr">
        <is>
          <t>GitHub Actions</t>
        </is>
      </c>
    </row>
    <row r="41" ht="26" customHeight="1" s="28">
      <c r="A41" s="56" t="inlineStr">
        <is>
          <t>4. Publication</t>
        </is>
      </c>
      <c r="B41" s="57" t="inlineStr">
        <is>
          <t>3 modèles (joblib) + métriques (JSON) + rapport, un commit par jour : historique de toutes les versions</t>
        </is>
      </c>
      <c r="C41" s="54" t="n"/>
      <c r="D41" s="54" t="n"/>
      <c r="E41" s="54" t="n"/>
      <c r="F41" s="54" t="n"/>
      <c r="G41" s="55" t="n"/>
      <c r="H41" s="57" t="inlineStr">
        <is>
          <t>Branche Git models</t>
        </is>
      </c>
    </row>
    <row r="42" ht="26" customHeight="1" s="28">
      <c r="A42" s="56" t="inlineStr">
        <is>
          <t>5. Utilisation</t>
        </is>
      </c>
      <c r="B42" s="57" t="inlineStr">
        <is>
          <t>Les prévisions de l'application sont recalculées toutes les 3 h avec la dernière version</t>
        </is>
      </c>
      <c r="C42" s="54" t="n"/>
      <c r="D42" s="54" t="n"/>
      <c r="E42" s="54" t="n"/>
      <c r="F42" s="54" t="n"/>
      <c r="G42" s="55" t="n"/>
      <c r="H42" s="57" t="inlineStr">
        <is>
          <t>Workflow de transformation → GitHub Pages</t>
        </is>
      </c>
    </row>
    <row r="43" ht="39" customHeight="1" s="28">
      <c r="A43" s="56" t="inlineStr">
        <is>
          <t>6. Suivi</t>
        </is>
      </c>
      <c r="B43" s="57" t="inlineStr">
        <is>
          <t>Page suivi.html : progression rejouée depuis 2016, versions publiées, prévisions réelles comparées à la réalité</t>
        </is>
      </c>
      <c r="C43" s="54" t="n"/>
      <c r="D43" s="54" t="n"/>
      <c r="E43" s="54" t="n"/>
      <c r="F43" s="54" t="n"/>
      <c r="G43" s="55" t="n"/>
      <c r="H43" s="57" t="inlineStr">
        <is>
          <t>src/auroracast/model/history.py</t>
        </is>
      </c>
    </row>
    <row r="44"/>
    <row r="45" ht="39" customHeight="1" s="28">
      <c r="A45" s="52" t="inlineStr">
        <is>
          <t>5. Progression rejouée : modèle réentraîné au début de chaque mois avec les données connues à cette date (moyenne annuelle du ROC AUC)</t>
        </is>
      </c>
    </row>
    <row r="46">
      <c r="A46" s="53" t="inlineStr">
        <is>
          <t>Année</t>
        </is>
      </c>
      <c r="B46" s="53" t="inlineStr">
        <is>
          <t>AUC 6 h</t>
        </is>
      </c>
      <c r="C46" s="53" t="inlineStr">
        <is>
          <t>AUC 24 h</t>
        </is>
      </c>
      <c r="D46" s="53" t="inlineStr">
        <is>
          <t>AUC 48 h</t>
        </is>
      </c>
      <c r="E46" s="53" t="inlineStr">
        <is>
          <t>Rappel 24 h</t>
        </is>
      </c>
      <c r="F46" s="53" t="inlineStr">
        <is>
          <t>Tranches apprises</t>
        </is>
      </c>
      <c r="G46" s="53" t="inlineStr"/>
      <c r="H46" s="53" t="inlineStr">
        <is>
          <t>Lecture</t>
        </is>
      </c>
    </row>
    <row r="47" ht="52" customHeight="1" s="28">
      <c r="A47" s="56" t="inlineStr">
        <is>
          <t>2016</t>
        </is>
      </c>
      <c r="B47" s="59" t="n">
        <v>0.9014906797571438</v>
      </c>
      <c r="C47" s="59" t="n">
        <v>0.8005215404821852</v>
      </c>
      <c r="D47" s="59" t="n">
        <v>0.7229365969935099</v>
      </c>
      <c r="E47" s="60" t="n">
        <v>0.6726460488523255</v>
      </c>
      <c r="F47" s="61" t="n">
        <v>18859</v>
      </c>
      <c r="G47" s="57" t="inlineStr"/>
      <c r="H47" s="57" t="inlineStr">
        <is>
          <t>La note suit le cycle solaire (années calmes ou agitées) et ne monte pas avec la quantité de données : les progrès viendront de nouvelles variables ou d'un autre type de modèle.</t>
        </is>
      </c>
    </row>
    <row r="48">
      <c r="A48" s="56" t="inlineStr">
        <is>
          <t>2017</t>
        </is>
      </c>
      <c r="B48" s="59" t="n">
        <v>0.910433172506707</v>
      </c>
      <c r="C48" s="59" t="n">
        <v>0.8015572223348317</v>
      </c>
      <c r="D48" s="59" t="n">
        <v>0.7182141819193657</v>
      </c>
      <c r="E48" s="60" t="n">
        <v>0.7175309486964505</v>
      </c>
      <c r="F48" s="61" t="n">
        <v>21780</v>
      </c>
      <c r="G48" s="57" t="inlineStr"/>
      <c r="H48" s="62" t="n"/>
    </row>
    <row r="49">
      <c r="A49" s="56" t="inlineStr">
        <is>
          <t>2018</t>
        </is>
      </c>
      <c r="B49" s="59" t="n">
        <v>0.8911224354520249</v>
      </c>
      <c r="C49" s="59" t="n">
        <v>0.7136514339947526</v>
      </c>
      <c r="D49" s="59" t="n">
        <v>0.6259130012187989</v>
      </c>
      <c r="E49" s="60" t="n">
        <v>0.4984931991428329</v>
      </c>
      <c r="F49" s="61" t="n">
        <v>24700</v>
      </c>
      <c r="G49" s="57" t="inlineStr"/>
      <c r="H49" s="62" t="n"/>
    </row>
    <row r="50">
      <c r="A50" s="56" t="inlineStr">
        <is>
          <t>2019</t>
        </is>
      </c>
      <c r="B50" s="59" t="n">
        <v>0.952531112448724</v>
      </c>
      <c r="C50" s="59" t="n">
        <v>0.8151695529611989</v>
      </c>
      <c r="D50" s="59" t="n">
        <v>0.6605047705847382</v>
      </c>
      <c r="E50" s="60" t="n">
        <v>0.4782080970858061</v>
      </c>
      <c r="F50" s="61" t="n">
        <v>27620</v>
      </c>
      <c r="G50" s="57" t="inlineStr"/>
      <c r="H50" s="62" t="n"/>
    </row>
    <row r="51">
      <c r="A51" s="56" t="inlineStr">
        <is>
          <t>2020</t>
        </is>
      </c>
      <c r="B51" s="59" t="n">
        <v>0.9128121810453066</v>
      </c>
      <c r="C51" s="59" t="n">
        <v>0.7876677781397204</v>
      </c>
      <c r="D51" s="59" t="n">
        <v>0.7605909534644651</v>
      </c>
      <c r="E51" s="60" t="n">
        <v>0.3553705402890185</v>
      </c>
      <c r="F51" s="61" t="n">
        <v>30547</v>
      </c>
      <c r="G51" s="57" t="inlineStr"/>
      <c r="H51" s="62" t="n"/>
    </row>
    <row r="52">
      <c r="A52" s="56" t="inlineStr">
        <is>
          <t>2021</t>
        </is>
      </c>
      <c r="B52" s="59" t="n">
        <v>0.8802561287590938</v>
      </c>
      <c r="C52" s="59" t="n">
        <v>0.6676093056453175</v>
      </c>
      <c r="D52" s="59" t="n">
        <v>0.6039190582581212</v>
      </c>
      <c r="E52" s="60" t="n">
        <v>0.3976022622544466</v>
      </c>
      <c r="F52" s="61" t="n">
        <v>33468</v>
      </c>
      <c r="G52" s="57" t="inlineStr"/>
      <c r="H52" s="62" t="n"/>
    </row>
    <row r="53">
      <c r="A53" s="56" t="inlineStr">
        <is>
          <t>2022</t>
        </is>
      </c>
      <c r="B53" s="59" t="n">
        <v>0.8716720387133042</v>
      </c>
      <c r="C53" s="59" t="n">
        <v>0.7527954179023152</v>
      </c>
      <c r="D53" s="59" t="n">
        <v>0.6770670156995114</v>
      </c>
      <c r="E53" s="60" t="n">
        <v>0.6635339636157604</v>
      </c>
      <c r="F53" s="61" t="n">
        <v>36388</v>
      </c>
      <c r="G53" s="57" t="inlineStr"/>
      <c r="H53" s="62" t="n"/>
    </row>
    <row r="54">
      <c r="A54" s="56" t="inlineStr">
        <is>
          <t>2023</t>
        </is>
      </c>
      <c r="B54" s="59" t="n">
        <v>0.8536895413000516</v>
      </c>
      <c r="C54" s="59" t="n">
        <v>0.7363924135579604</v>
      </c>
      <c r="D54" s="59" t="n">
        <v>0.6399121721634253</v>
      </c>
      <c r="E54" s="60" t="n">
        <v>0.6720257512915514</v>
      </c>
      <c r="F54" s="61" t="n">
        <v>39308</v>
      </c>
      <c r="G54" s="57" t="inlineStr"/>
      <c r="H54" s="62" t="n"/>
    </row>
    <row r="55">
      <c r="A55" s="56" t="inlineStr">
        <is>
          <t>2024</t>
        </is>
      </c>
      <c r="B55" s="59" t="n">
        <v>0.867420971893648</v>
      </c>
      <c r="C55" s="59" t="n">
        <v>0.7457455772371383</v>
      </c>
      <c r="D55" s="59" t="n">
        <v>0.6919026041131497</v>
      </c>
      <c r="E55" s="60" t="n">
        <v>0.6758236042063734</v>
      </c>
      <c r="F55" s="61" t="n">
        <v>42235</v>
      </c>
      <c r="G55" s="57" t="inlineStr"/>
      <c r="H55" s="62" t="n"/>
    </row>
    <row r="56">
      <c r="A56" s="56" t="inlineStr">
        <is>
          <t>2025</t>
        </is>
      </c>
      <c r="B56" s="59" t="n">
        <v>0.8902141135294711</v>
      </c>
      <c r="C56" s="59" t="n">
        <v>0.8227762656335526</v>
      </c>
      <c r="D56" s="59" t="n">
        <v>0.766199839149775</v>
      </c>
      <c r="E56" s="60" t="n">
        <v>0.8736720115319391</v>
      </c>
      <c r="F56" s="61" t="n">
        <v>45156</v>
      </c>
      <c r="G56" s="57" t="inlineStr"/>
      <c r="H56" s="62" t="n"/>
    </row>
    <row r="57">
      <c r="A57" s="56" t="inlineStr">
        <is>
          <t>2026</t>
        </is>
      </c>
      <c r="B57" s="59" t="n">
        <v>0.8935285276419235</v>
      </c>
      <c r="C57" s="59" t="n">
        <v>0.7697451062319093</v>
      </c>
      <c r="D57" s="59" t="n">
        <v>0.6888437026865228</v>
      </c>
      <c r="E57" s="60" t="n">
        <v>0.695357615640565</v>
      </c>
      <c r="F57" s="61" t="n">
        <v>47832</v>
      </c>
      <c r="G57" s="57" t="inlineStr"/>
      <c r="H57" s="63" t="n"/>
    </row>
  </sheetData>
  <mergeCells count="22">
    <mergeCell ref="D9:G9"/>
    <mergeCell ref="B42:G42"/>
    <mergeCell ref="D12:G12"/>
    <mergeCell ref="D8:G8"/>
    <mergeCell ref="D5:G5"/>
    <mergeCell ref="D14:G14"/>
    <mergeCell ref="B38:G38"/>
    <mergeCell ref="B19:G19"/>
    <mergeCell ref="B40:G40"/>
    <mergeCell ref="D10:G10"/>
    <mergeCell ref="B20:G20"/>
    <mergeCell ref="H47:H57"/>
    <mergeCell ref="D6:G6"/>
    <mergeCell ref="B41:G41"/>
    <mergeCell ref="D11:G11"/>
    <mergeCell ref="D13:G13"/>
    <mergeCell ref="B22:G22"/>
    <mergeCell ref="D7:G7"/>
    <mergeCell ref="B43:G43"/>
    <mergeCell ref="B18:G18"/>
    <mergeCell ref="B21:G21"/>
    <mergeCell ref="B39:G39"/>
  </mergeCells>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D23"/>
  <sheetViews>
    <sheetView workbookViewId="0">
      <selection activeCell="A1" sqref="A1"/>
    </sheetView>
  </sheetViews>
  <sheetFormatPr baseColWidth="8" defaultRowHeight="15"/>
  <cols>
    <col width="26" customWidth="1" style="28" min="1" max="1"/>
    <col width="58" customWidth="1" style="28" min="2" max="2"/>
    <col width="34" customWidth="1" style="28" min="3" max="3"/>
    <col width="30" customWidth="1" style="28" min="4" max="4"/>
  </cols>
  <sheetData>
    <row r="1">
      <c r="A1" s="50" t="inlineStr">
        <is>
          <t>AuroraCast – Application du directeur</t>
        </is>
      </c>
    </row>
    <row r="2">
      <c r="A2" s="51" t="inlineStr">
        <is>
          <t>Page web publiée sur GitHub Pages (esenel19.github.io/auroracast), recalculée toutes les 3 h. Code : src/auroracast/app/predict.py et web/index.html</t>
        </is>
      </c>
    </row>
    <row r="4">
      <c r="A4" s="52" t="inlineStr">
        <is>
          <t>1. Trois conditions, pour chaque lieu et chaque heure des 48 prochaines heures</t>
        </is>
      </c>
    </row>
    <row r="5">
      <c r="A5" s="53" t="inlineStr">
        <is>
          <t>Condition</t>
        </is>
      </c>
      <c r="B5" s="53" t="inlineStr">
        <is>
          <t>Règle</t>
        </is>
      </c>
      <c r="C5" s="53" t="inlineStr">
        <is>
          <t>Source</t>
        </is>
      </c>
      <c r="D5" s="53" t="inlineStr">
        <is>
          <t>États</t>
        </is>
      </c>
    </row>
    <row r="6" ht="52" customHeight="1" s="28">
      <c r="A6" s="56" t="inlineStr">
        <is>
          <t>Activité aurorale</t>
        </is>
      </c>
      <c r="B6" s="57" t="inlineStr">
        <is>
          <t>Probabilité du modèle ≥ son seuil : forte ; ≥ la moitié du seuil : possible ; sinon faible. Chaque heure prend le plus court horizon qui la couvre : 6 h (h+0 à h+5), 24 h (h+6 à h+23), 48 h (h+24 à h+47)</t>
        </is>
      </c>
      <c r="C6" s="57" t="inlineStr">
        <is>
          <t>Modèles (vue v_training_kp)</t>
        </is>
      </c>
      <c r="D6" s="57" t="inlineStr">
        <is>
          <t>forte / possible / faible</t>
        </is>
      </c>
    </row>
    <row r="7" ht="26" customHeight="1" s="28">
      <c r="A7" s="56" t="inlineStr">
        <is>
          <t>Ciel noir</t>
        </is>
      </c>
      <c r="B7" s="57" t="inlineStr">
        <is>
          <t>Hauteur du Soleil à −12° ou moins (fin du crépuscule nautique)</t>
        </is>
      </c>
      <c r="C7" s="57" t="inlineStr">
        <is>
          <t>fact_astronomy (PyEphem)</t>
        </is>
      </c>
      <c r="D7" s="57" t="inlineStr">
        <is>
          <t>oui / non</t>
        </is>
      </c>
    </row>
    <row r="8" ht="26" customHeight="1" s="28">
      <c r="A8" s="56" t="inlineStr">
        <is>
          <t>Ciel</t>
        </is>
      </c>
      <c r="B8" s="57" t="inlineStr">
        <is>
          <t>Nébulosité totale &lt; 40 % : dégagé ; ≥ 80 % ou brouillard ≥ 50 % : couvert ; sinon partiel</t>
        </is>
      </c>
      <c r="C8" s="57" t="inlineStr">
        <is>
          <t>fact_weather_forecast (MET Norway, dernière émission)</t>
        </is>
      </c>
      <c r="D8" s="57" t="inlineStr">
        <is>
          <t>dégagé / partiel / couvert / inconnu</t>
        </is>
      </c>
    </row>
    <row r="9"/>
    <row r="10">
      <c r="A10" s="52" t="inlineStr">
        <is>
          <t>2. Code couleur</t>
        </is>
      </c>
    </row>
    <row r="11">
      <c r="A11" s="53" t="inlineStr">
        <is>
          <t>Couleur</t>
        </is>
      </c>
      <c r="B11" s="53" t="inlineStr">
        <is>
          <t>Règle</t>
        </is>
      </c>
      <c r="C11" s="53" t="inlineStr">
        <is>
          <t>Message affiché</t>
        </is>
      </c>
      <c r="D11" s="53" t="inlineStr"/>
    </row>
    <row r="12">
      <c r="A12" s="64" t="inlineStr">
        <is>
          <t>Vert</t>
        </is>
      </c>
      <c r="B12" s="57" t="inlineStr">
        <is>
          <t>Activité forte ET ciel noir ET dégagé</t>
        </is>
      </c>
      <c r="C12" s="57" t="inlineStr">
        <is>
          <t>Aurore probable</t>
        </is>
      </c>
      <c r="D12" s="57" t="inlineStr"/>
    </row>
    <row r="13" ht="26" customHeight="1" s="28">
      <c r="A13" s="65" t="inlineStr">
        <is>
          <t>Orange</t>
        </is>
      </c>
      <c r="B13" s="57" t="inlineStr">
        <is>
          <t>Tous les autres cas (nuit noire mais activité seulement possible, ciel partiel ou prévision indisponible)</t>
        </is>
      </c>
      <c r="C13" s="57" t="inlineStr">
        <is>
          <t>Incertain</t>
        </is>
      </c>
      <c r="D13" s="57" t="inlineStr"/>
    </row>
    <row r="14">
      <c r="A14" s="66" t="inlineStr">
        <is>
          <t>Rouge</t>
        </is>
      </c>
      <c r="B14" s="57" t="inlineStr">
        <is>
          <t>Activité faible OU jour / crépuscule OU ciel couvert</t>
        </is>
      </c>
      <c r="C14" s="57" t="inlineStr">
        <is>
          <t>Pas visible</t>
        </is>
      </c>
      <c r="D14" s="57" t="inlineStr"/>
    </row>
    <row r="15"/>
    <row r="16">
      <c r="A16" s="52" t="inlineStr">
        <is>
          <t>3. Ce que voit le directeur</t>
        </is>
      </c>
    </row>
    <row r="17">
      <c r="A17" s="53" t="inlineStr">
        <is>
          <t>Zone</t>
        </is>
      </c>
      <c r="B17" s="53" t="inlineStr">
        <is>
          <t>Contenu</t>
        </is>
      </c>
      <c r="C17" s="53" t="inlineStr"/>
      <c r="D17" s="53" t="inlineStr"/>
    </row>
    <row r="18" ht="26" customHeight="1" s="28">
      <c r="A18" s="56" t="inlineStr">
        <is>
          <t>Activité</t>
        </is>
      </c>
      <c r="B18" s="57" t="inlineStr">
        <is>
          <t>Probabilité d'une belle aurore dans les 6, 24 et 48 h ; Kp actuel, Bz, vitesse du vent solaire</t>
        </is>
      </c>
      <c r="C18" s="54" t="n"/>
      <c r="D18" s="55" t="n"/>
    </row>
    <row r="19" ht="26" customHeight="1" s="28">
      <c r="A19" s="56" t="inlineStr">
        <is>
          <t>Lieux</t>
        </is>
      </c>
      <c r="B19" s="57" t="inlineStr">
        <is>
          <t>Tromsø, Kiruna, Rovaniemi, avec la couleur de la période</t>
        </is>
      </c>
      <c r="C19" s="54" t="n"/>
      <c r="D19" s="55" t="n"/>
    </row>
    <row r="20" ht="26" customHeight="1" s="28">
      <c r="A20" s="56" t="inlineStr">
        <is>
          <t>Verdict</t>
        </is>
      </c>
      <c r="B20" s="57" t="inlineStr">
        <is>
          <t>Couleur de la période, meilleure heure ou raison principale (« activité trop faible et ciel couvert »)</t>
        </is>
      </c>
      <c r="C20" s="54" t="n"/>
      <c r="D20" s="55" t="n"/>
    </row>
    <row r="21" ht="26" customHeight="1" s="28">
      <c r="A21" s="56" t="inlineStr">
        <is>
          <t>Frise 24 h / 48 h</t>
        </is>
      </c>
      <c r="B21" s="57" t="inlineStr">
        <is>
          <t>Heure locale ; couleur, modèle utilisé, ciel noir, nuages, Kp prévu par la NOAA</t>
        </is>
      </c>
      <c r="C21" s="54" t="n"/>
      <c r="D21" s="55" t="n"/>
    </row>
    <row r="22" ht="26" customHeight="1" s="28">
      <c r="A22" s="56" t="inlineStr">
        <is>
          <t>Détail d'une heure</t>
        </is>
      </c>
      <c r="B22" s="57" t="inlineStr">
        <is>
          <t>Les trois conditions, la Lune, la température et le vent</t>
        </is>
      </c>
      <c r="C22" s="54" t="n"/>
      <c r="D22" s="55" t="n"/>
    </row>
    <row r="23" ht="26" customHeight="1" s="28">
      <c r="A23" s="56" t="inlineStr">
        <is>
          <t>Suivi des modèles</t>
        </is>
      </c>
      <c r="B23" s="57" t="inlineStr">
        <is>
          <t>Page suivi.html : progression des modèles dans le temps</t>
        </is>
      </c>
      <c r="C23" s="54" t="n"/>
      <c r="D23" s="55" t="n"/>
    </row>
  </sheetData>
  <mergeCells count="6">
    <mergeCell ref="B19:D19"/>
    <mergeCell ref="B23:D23"/>
    <mergeCell ref="B22:D22"/>
    <mergeCell ref="B18:D18"/>
    <mergeCell ref="B21:D21"/>
    <mergeCell ref="B20:D20"/>
  </mergeCells>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E12"/>
  <sheetViews>
    <sheetView workbookViewId="0">
      <selection activeCell="A1" sqref="A1"/>
    </sheetView>
  </sheetViews>
  <sheetFormatPr baseColWidth="8" defaultRowHeight="15"/>
  <cols>
    <col width="34" customWidth="1" style="28" min="1" max="1"/>
    <col width="36" customWidth="1" style="28" min="2" max="2"/>
    <col width="58" customWidth="1" style="28" min="3" max="3"/>
    <col width="34" customWidth="1" style="28" min="4" max="4"/>
    <col width="28" customWidth="1" style="28" min="5" max="5"/>
  </cols>
  <sheetData>
    <row r="1">
      <c r="A1" s="50" t="inlineStr">
        <is>
          <t>AuroraCast – Chaîne automatisée (GitHub Actions)</t>
        </is>
      </c>
    </row>
    <row r="2">
      <c r="A2" s="51" t="inlineStr">
        <is>
          <t>Mis à jour le 30/10/2026. Tout s'exécute dans le cloud (machines GitHub Actions, VM Azure) ; aucun traitement local. Dossier .github/workflows/</t>
        </is>
      </c>
    </row>
    <row r="4">
      <c r="A4" s="53" t="inlineStr">
        <is>
          <t>Workflow</t>
        </is>
      </c>
      <c r="B4" s="53" t="inlineStr">
        <is>
          <t>Déclenchement</t>
        </is>
      </c>
      <c r="C4" s="53" t="inlineStr">
        <is>
          <t>Rôle</t>
        </is>
      </c>
      <c r="D4" s="53" t="inlineStr">
        <is>
          <t>Sortie</t>
        </is>
      </c>
      <c r="E4" s="53" t="inlineStr">
        <is>
          <t>Fichier</t>
        </is>
      </c>
    </row>
    <row r="5" ht="26" customHeight="1" s="28">
      <c r="A5" s="56" t="inlineStr">
        <is>
          <t>Collecte NOAA et MET Norway</t>
        </is>
      </c>
      <c r="B5" s="57" t="inlineStr">
        <is>
          <t>Toutes les 3 h (cron 17 */3 * * *)</t>
        </is>
      </c>
      <c r="C5" s="57" t="inlineStr">
        <is>
          <t>Météo de l'espace (Kp, vent solaire, prévisions, alertes) et prévisions météo MET Norway</t>
        </is>
      </c>
      <c r="D5" s="57" t="inlineStr">
        <is>
          <t>Branche raw-data</t>
        </is>
      </c>
      <c r="E5" s="57" t="inlineStr">
        <is>
          <t>collect-noaa.yml</t>
        </is>
      </c>
    </row>
    <row r="6" ht="26" customHeight="1" s="28">
      <c r="A6" s="56" t="inlineStr">
        <is>
          <t>Collecte météo GHCNh</t>
        </is>
      </c>
      <c r="B6" s="57" t="inlineStr">
        <is>
          <t>Chaque jour à 05:37 UTC</t>
        </is>
      </c>
      <c r="C6" s="57" t="inlineStr">
        <is>
          <t>Observations horaires des 3 stations, lignes nouvelles seulement</t>
        </is>
      </c>
      <c r="D6" s="57" t="inlineStr">
        <is>
          <t>Branche raw-data</t>
        </is>
      </c>
      <c r="E6" s="57" t="inlineStr">
        <is>
          <t>collect-ghcnh.yml</t>
        </is>
      </c>
    </row>
    <row r="7" ht="26" customHeight="1" s="28">
      <c r="A7" s="56" t="inlineStr">
        <is>
          <t>Transformation des données</t>
        </is>
      </c>
      <c r="B7" s="57" t="inlineStr">
        <is>
          <t>Après chaque collecte réussie (workflow_run), secours à 09:23 UTC</t>
        </is>
      </c>
      <c r="C7" s="57" t="inlineStr">
        <is>
          <t>Tables propres, chargement de l'entrepôt, prévisions des 48 h, page de suivi, publication de l'application</t>
        </is>
      </c>
      <c r="D7" s="57" t="inlineStr">
        <is>
          <t>Branche clean-data, Neon, GitHub Pages</t>
        </is>
      </c>
      <c r="E7" s="57" t="inlineStr">
        <is>
          <t>transform.yml</t>
        </is>
      </c>
    </row>
    <row r="8" ht="26" customHeight="1" s="28">
      <c r="A8" s="56" t="inlineStr">
        <is>
          <t>Entraînement des modèles</t>
        </is>
      </c>
      <c r="B8" s="57" t="inlineStr">
        <is>
          <t>Chaque jour à 10:13 UTC</t>
        </is>
      </c>
      <c r="C8" s="57" t="inlineStr">
        <is>
          <t>Évaluation, contrôle qualité, réapprentissage des modèles 6 h / 24 h / 48 h, progression rejouée depuis 2016</t>
        </is>
      </c>
      <c r="D8" s="57" t="inlineStr">
        <is>
          <t>Branche models</t>
        </is>
      </c>
      <c r="E8" s="57" t="inlineStr">
        <is>
          <t>train-model.yml</t>
        </is>
      </c>
    </row>
    <row r="9">
      <c r="A9" s="56" t="inlineStr">
        <is>
          <t>Backfill historique</t>
        </is>
      </c>
      <c r="B9" s="57" t="inlineStr">
        <is>
          <t>À la demande</t>
        </is>
      </c>
      <c r="C9" s="57" t="inlineStr">
        <is>
          <t>Historique GFZ, OMNIWeb, GHCNh, GSOD</t>
        </is>
      </c>
      <c r="D9" s="57" t="inlineStr">
        <is>
          <t>Branche raw-data</t>
        </is>
      </c>
      <c r="E9" s="57" t="inlineStr">
        <is>
          <t>backfill.yml</t>
        </is>
      </c>
    </row>
    <row r="10" ht="26" customHeight="1" s="28">
      <c r="A10" s="56" t="inlineStr">
        <is>
          <t>CI</t>
        </is>
      </c>
      <c r="B10" s="57" t="inlineStr">
        <is>
          <t>À chaque envoi de code</t>
        </is>
      </c>
      <c r="C10" s="57" t="inlineStr">
        <is>
          <t>ruff, recherche de marques de conflit Git, 123 tests (dont un vrai PostgreSQL)</t>
        </is>
      </c>
      <c r="D10" s="57" t="inlineStr">
        <is>
          <t>Résultat vert / rouge</t>
        </is>
      </c>
      <c r="E10" s="57" t="inlineStr">
        <is>
          <t>ci.yml</t>
        </is>
      </c>
    </row>
    <row r="11"/>
    <row r="12" ht="52" customHeight="1" s="28">
      <c r="A12" s="51" t="inlineStr">
        <is>
          <t>Branches de données : raw-data (brut, historique conservé), clean-data (tables propres, un seul commit), models (une version de modèles par jour, historique conservé).</t>
        </is>
      </c>
    </row>
  </sheetData>
  <pageMargins left="0.75" right="0.75" top="1" bottom="1" header="0.5" footer="0.5"/>
  <pageSetup orientation="landscape" fitToHeight="0" fitToWidth="1"/>
</worksheet>
</file>

<file path=xl/worksheets/sheet10.xml><?xml version="1.0" encoding="utf-8"?>
<worksheet xmlns="http://schemas.openxmlformats.org/spreadsheetml/2006/main">
  <sheetPr filterMode="0">
    <outlinePr summaryBelow="1" summaryRight="1"/>
    <pageSetUpPr fitToPage="0"/>
  </sheetPr>
  <dimension ref="A1:E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27" min="1" max="1"/>
    <col width="50" customWidth="1" style="27" min="2" max="2"/>
    <col width="30" customWidth="1" style="27" min="3" max="3"/>
    <col width="70" customWidth="1" style="27" min="4" max="4"/>
    <col width="50" customWidth="1" style="27" min="5" max="5"/>
  </cols>
  <sheetData>
    <row r="1" ht="17.25" customHeight="1" s="28">
      <c r="A1" s="29" t="inlineStr">
        <is>
          <t>Vérification juridique : SpaceWeatherLive</t>
        </is>
      </c>
    </row>
    <row r="2" ht="15" customHeight="1" s="28">
      <c r="A2" s="30" t="inlineStr">
        <is>
          <t>Vérification faite le 26/10/2026 (C1.1.2, cadre réglementaire). Ce n'est pas un avis juridique.</t>
        </is>
      </c>
    </row>
    <row r="4" ht="15" customHeight="1" s="28">
      <c r="A4" s="45" t="inlineStr">
        <is>
          <t>Document</t>
        </is>
      </c>
      <c r="B4" s="45" t="inlineStr">
        <is>
          <t>Lien</t>
        </is>
      </c>
      <c r="C4" s="45" t="inlineStr">
        <is>
          <t>Section</t>
        </is>
      </c>
      <c r="D4" s="45" t="inlineStr">
        <is>
          <t>Ce que dit le texte (résumé)</t>
        </is>
      </c>
      <c r="E4" s="45" t="inlineStr">
        <is>
          <t>Conséquence pour le scraping</t>
        </is>
      </c>
    </row>
    <row r="5" ht="94.5" customHeight="1" s="28">
      <c r="A5" s="42" t="inlineStr">
        <is>
          <t>Disclaimer (avertissement légal)</t>
        </is>
      </c>
      <c r="B5" s="68" t="inlineStr">
        <is>
          <t>https://www.spaceweatherlive.com/en/disclaimer.html</t>
        </is>
      </c>
      <c r="C5" s="68" t="inlineStr">
        <is>
          <t>Copyright &amp; Intellectual Property</t>
        </is>
      </c>
      <c r="D5" s="68" t="inlineStr">
        <is>
          <t>Les données brutes générées ne sont pas soumises au droit d'auteur et peuvent être utilisées librement en citant les sources d'origine. Copier les graphiques générés, la mise en page, les symboles ou les logiciels est interdit sans autorisation. Le hotlinking d'images ou de graphiques depuis leurs serveurs est interdit.</t>
        </is>
      </c>
      <c r="E5" s="68" t="inlineStr">
        <is>
          <t>Données chiffrées : autorisées avec citation de la source. Graphiques, images et mise en page : à ne pas copier ni lier.</t>
        </is>
      </c>
    </row>
    <row r="6" ht="94.5" customHeight="1" s="28">
      <c r="A6" s="42" t="inlineStr">
        <is>
          <t>Disclaimer (avertissement légal)</t>
        </is>
      </c>
      <c r="B6" s="68" t="inlineStr">
        <is>
          <t>https://www.spaceweatherlive.com/en/disclaimer.html</t>
        </is>
      </c>
      <c r="C6" s="68" t="inlineStr">
        <is>
          <t>Public Data &amp; Scientific Attribution</t>
        </is>
      </c>
      <c r="D6" s="68" t="inlineStr">
        <is>
          <t>Les données brutes viennent d'organismes comme NOAA, GFZ Potsdam, IRF et SIDC.</t>
        </is>
      </c>
      <c r="E6" s="68" t="inlineStr">
        <is>
          <t>Citer ces organismes dans le dossier. Pour Kp et vent solaire, privilégier la source d'origine.</t>
        </is>
      </c>
    </row>
    <row r="7" ht="94.5" customHeight="1" s="28">
      <c r="A7" s="42" t="inlineStr">
        <is>
          <t>Disclaimer (avertissement légal)</t>
        </is>
      </c>
      <c r="B7" s="68" t="inlineStr">
        <is>
          <t>https://www.spaceweatherlive.com/en/disclaimer.html</t>
        </is>
      </c>
      <c r="C7" s="68" t="inlineStr">
        <is>
          <t>Solar &amp; Aurora Imagery Rights</t>
        </is>
      </c>
      <c r="D7" s="68" t="inlineStr">
        <is>
          <t>Les images solaires appartiennent à NASA, ESA, etc. Les photos d'aurores appartiennent à leurs auteurs, sous licence exclusive du site. Toute redistribution non autorisée est interdite.</t>
        </is>
      </c>
      <c r="E7" s="68" t="inlineStr">
        <is>
          <t>Ne pas collecter ni stocker d'images ou de photos.</t>
        </is>
      </c>
    </row>
    <row r="8" ht="94.5" customHeight="1" s="28">
      <c r="A8" s="42" t="inlineStr">
        <is>
          <t>User agreement</t>
        </is>
      </c>
      <c r="B8" s="68" t="inlineStr">
        <is>
          <t>https://www.spaceweatherlive.com/lv/polarblazmas-aktivitate/observations/terms-of-use.html</t>
        </is>
      </c>
      <c r="C8" s="68" t="inlineStr">
        <is>
          <t>Your submitted observations</t>
        </is>
      </c>
      <c r="D8" s="68" t="inlineStr">
        <is>
          <t>Concerne les observations envoyées par les utilisateurs (licence non exclusive, publication, usage par des chercheurs avec mention de l'auteur).</t>
        </is>
      </c>
      <c r="E8" s="68" t="inlineStr">
        <is>
          <t>Hors sujet pour le scraping, sauf si tu collectes des observations d'utilisateurs : dans ce cas, attribution obligatoire.</t>
        </is>
      </c>
    </row>
    <row r="9" ht="94.5" customHeight="1" s="28">
      <c r="A9" s="42" t="inlineStr">
        <is>
          <t>Les deux pages</t>
        </is>
      </c>
      <c r="B9" s="68" t="inlineStr">
        <is>
          <t>—</t>
        </is>
      </c>
      <c r="C9" s="68" t="inlineStr">
        <is>
          <t>Accès automatisé / scraping / API / usage commercial</t>
        </is>
      </c>
      <c r="D9" s="68" t="inlineStr">
        <is>
          <t>Aucune mention trouvée dans le disclaimer ni dans l'accord utilisateur.</t>
        </is>
      </c>
      <c r="E9" s="68" t="inlineStr">
        <is>
          <t>Pas d'interdiction explicite, mais pas d'autorisation explicite non plus (voir robots.txt ci-dessous).</t>
        </is>
      </c>
    </row>
    <row r="10" ht="69.75" customHeight="1" s="28">
      <c r="A10" s="42" t="inlineStr">
        <is>
          <t>robots.txt</t>
        </is>
      </c>
      <c r="B10" s="68" t="inlineStr">
        <is>
          <t>https://www.spaceweatherlive.com/robots.txt</t>
        </is>
      </c>
      <c r="C10" s="68" t="inlineStr">
        <is>
          <t>User-agent: * (Allow: /)</t>
        </is>
      </c>
      <c r="D10" s="68" t="inlineStr">
        <is>
          <t>Tous les chemins sont ouverts aux robots génériques (test Python can_fetch = True).</t>
        </is>
      </c>
      <c r="E10" s="68" t="inlineStr">
        <is>
          <t>Scraping techniquement autorisé pour un robot générique.</t>
        </is>
      </c>
    </row>
    <row r="11" ht="69.75" customHeight="1" s="28">
      <c r="A11" s="42" t="inlineStr">
        <is>
          <t>robots.txt</t>
        </is>
      </c>
      <c r="B11" s="68" t="inlineStr">
        <is>
          <t>https://www.spaceweatherlive.com/robots.txt</t>
        </is>
      </c>
      <c r="C11" s="68" t="inlineStr">
        <is>
          <t>Crawl-delay: 5</t>
        </is>
      </c>
      <c r="D11" s="68" t="inlineStr">
        <is>
          <t>Demande d'attendre 5 secondes entre deux requêtes.</t>
        </is>
      </c>
      <c r="E11" s="68" t="inlineStr">
        <is>
          <t>Obligatoire : time.sleep(5) minimum entre deux pages, en plus d'une collecte par heure maximum.</t>
        </is>
      </c>
    </row>
    <row r="12" ht="69.75" customHeight="1" s="28">
      <c r="A12" s="42" t="inlineStr">
        <is>
          <t>robots.txt</t>
        </is>
      </c>
      <c r="B12" s="68" t="inlineStr">
        <is>
          <t>https://www.spaceweatherlive.com/robots.txt</t>
        </is>
      </c>
      <c r="C12" s="68" t="inlineStr">
        <is>
          <t>Signaux de contenu : search=yes, ai-train=no, use=reference</t>
        </is>
      </c>
      <c r="D12" s="68" t="inlineStr">
        <is>
          <t>Indexation par les moteurs autorisée, entraînement d'IA refusé.</t>
        </is>
      </c>
      <c r="E12" s="68" t="inlineStr">
        <is>
          <t>Zone grise pour entraîner un modèle de ML : privilégier NOAA et GFZ à la source, ou demander une autorisation écrite au site.</t>
        </is>
      </c>
    </row>
    <row r="13" ht="69.75" customHeight="1" s="28">
      <c r="A13" s="42" t="inlineStr">
        <is>
          <t>robots.txt</t>
        </is>
      </c>
      <c r="B13" s="68" t="inlineStr">
        <is>
          <t>https://www.spaceweatherlive.com/robots.txt</t>
        </is>
      </c>
      <c r="C13" s="68" t="inlineStr">
        <is>
          <t>Robots bloqués (Disallow: /)</t>
        </is>
      </c>
      <c r="D13" s="68" t="inlineStr">
        <is>
          <t>Environ 35 robots d'entraînement d'IA (GPTBot, ClaudeBot, CCBot, Google-Extended…) et robots SEO (AhrefsBot, SemrushBot, MJ12bot…).</t>
        </is>
      </c>
      <c r="E13" s="68" t="inlineStr">
        <is>
          <t>Ne pas utiliser un de ces noms ; User-Agent personnalisé et identifiable avec un contact.</t>
        </is>
      </c>
    </row>
    <row r="14" ht="69.75" customHeight="1" s="28">
      <c r="A14" s="42" t="inlineStr">
        <is>
          <t>robots.txt</t>
        </is>
      </c>
      <c r="B14" s="68" t="inlineStr">
        <is>
          <t>https://www.spaceweatherlive.com/robots.txt</t>
        </is>
      </c>
      <c r="C14" s="68" t="inlineStr">
        <is>
          <t>Sitemap</t>
        </is>
      </c>
      <c r="D14" s="68" t="inlineStr">
        <is>
          <t>https://www.spaceweatherlive.com/sitemap.php</t>
        </is>
      </c>
      <c r="E14" s="68" t="inlineStr">
        <is>
          <t>Utile pour repérer les pages à collecter.</t>
        </is>
      </c>
    </row>
    <row r="16" ht="15" customHeight="1" s="28">
      <c r="A16" s="67" t="inlineStr">
        <is>
          <t>Conclusion</t>
        </is>
      </c>
    </row>
    <row r="17" ht="94.5" customHeight="1" s="28">
      <c r="A17" s="46" t="inlineStr">
        <is>
          <t>Le scraping de valeurs numériques brutes (Kp, flux, taches solaires) n'est pas interdit par les CGU, à condition de citer les sources d'origine. À éviter : graphiques, images, mise en page. Le robots.txt l'autorise pour un robot générique avec un délai de 5 secondes entre requêtes, mais refuse l'entraînement d'IA (ai-train=no) : pour un modèle de ML, prendre NOAA et GFZ à la source ou demander l'accord du site. Bonnes pratiques : une collecte par heure, 5 secondes entre pages, User-Agent identifiable. Pages lues via un outil de résumé : relire les textes sur le site avant de les citer. Vérification faite le 26/10/2026, ce n'est pas un avis juridique.</t>
        </is>
      </c>
    </row>
  </sheetData>
  <mergeCells count="1">
    <mergeCell ref="A17:E17"/>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E26"/>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27" min="1" max="1"/>
    <col width="28" customWidth="1" style="27" min="2" max="2"/>
    <col width="48" customWidth="1" style="27" min="3" max="3"/>
    <col width="70" customWidth="1" style="27" min="4" max="4"/>
    <col width="60" customWidth="1" style="27" min="5" max="5"/>
  </cols>
  <sheetData>
    <row r="1" ht="17.25" customHeight="1" s="28">
      <c r="A1" s="29" t="inlineStr">
        <is>
          <t>Vérification juridique : GFZ, NOAA SWPC, OMNIWeb (NASA), Open-Meteo, NOAA GHCNh, NOAA GSOD (BigQuery), MET Norway</t>
        </is>
      </c>
    </row>
    <row r="2" ht="15" customHeight="1" s="28">
      <c r="A2" s="49" t="inlineStr">
        <is>
          <t>Vérification faite le 26/10/2026 (C1.1.2, cadre réglementaire). Ce n'est pas un avis juridique. Pages lues via un outil de résumé : relire les textes sur les sites avant de les citer.</t>
        </is>
      </c>
    </row>
    <row r="4" ht="15" customHeight="1" s="28">
      <c r="A4" s="45" t="inlineStr">
        <is>
          <t>Source</t>
        </is>
      </c>
      <c r="B4" s="45" t="inlineStr">
        <is>
          <t>Document</t>
        </is>
      </c>
      <c r="C4" s="45" t="inlineStr">
        <is>
          <t>Lien</t>
        </is>
      </c>
      <c r="D4" s="45" t="inlineStr">
        <is>
          <t>Ce que dit le texte (résumé)</t>
        </is>
      </c>
      <c r="E4" s="45" t="inlineStr">
        <is>
          <t>Conséquence pour la collecte</t>
        </is>
      </c>
    </row>
    <row r="5" ht="34.5" customHeight="1" s="28">
      <c r="A5" s="68" t="inlineStr">
        <is>
          <t>GFZ Potsdam (Kp historique)</t>
        </is>
      </c>
      <c r="B5" s="68" t="inlineStr">
        <is>
          <t>Page de l'indice Kp (GFZ)</t>
        </is>
      </c>
      <c r="C5" s="68" t="inlineStr">
        <is>
          <t>https://gfz.de/en/section/geomagnetism/data-products-services/geomagnetic-kp-index</t>
        </is>
      </c>
      <c r="D5" s="68" t="inlineStr">
        <is>
          <t>Les données de l'indice Kp sont sous licence CC BY 4.0. Le GFZ demande d'être cité comme source des données.</t>
        </is>
      </c>
      <c r="E5" s="68" t="inlineStr">
        <is>
          <t>Citer le GFZ, le jeu de données (Matzka et al., 2021, Geomagnetic Kp index, GFZ Data Services, DOI 10.5880/Kp.0001) et l'article (Matzka et al., 2021, Space Weather, DOI 10.1029/2020SW002641).</t>
        </is>
      </c>
    </row>
    <row r="6" ht="34.5" customHeight="1" s="28">
      <c r="A6" s="68" t="inlineStr">
        <is>
          <t>GFZ Potsdam (Kp historique)</t>
        </is>
      </c>
      <c r="B6" s="68" t="inlineStr">
        <is>
          <t>En-tête du fichier Kp_ap_Ap_SN_F107</t>
        </is>
      </c>
      <c r="C6" s="68" t="inlineStr">
        <is>
          <t>https://kp.gfz.de/fileadmin/files_for_gfz_cms/Kp_ap_Ap_SN_F107_nowcast.txt</t>
        </is>
      </c>
      <c r="D6" s="68" t="inlineStr">
        <is>
          <t>CC BY 4.0, sauf le nombre de taches solaires (SN) : CC BY-NC 4.0, fourni par WDC-SILSO (Observatoire royal de Belgique). F10.7 fourni par le Dominion Radio Astrophysical Observatory et Ressources naturelles Canada.</t>
        </is>
      </c>
      <c r="E6" s="68" t="inlineStr">
        <is>
          <t>SN : usage non commercial seulement. Si AuroraCast devient un service payant, retirer SN ou demander l'accord de SILSO. Citer SILSO et DRAO / NRCan.</t>
        </is>
      </c>
    </row>
    <row r="7" ht="23.25" customHeight="1" s="28">
      <c r="A7" s="68" t="inlineStr">
        <is>
          <t>GFZ Potsdam (Kp historique)</t>
        </is>
      </c>
      <c r="B7" s="68" t="inlineStr">
        <is>
          <t>Page de téléchargement des données</t>
        </is>
      </c>
      <c r="C7" s="68" t="inlineStr">
        <is>
          <t>https://kp.gfz.de/en/data</t>
        </is>
      </c>
      <c r="D7" s="68" t="inlineStr">
        <is>
          <t>Aucune clause sur l'accès automatisé. La page conseille le téléchargement HTTPS pour les gros volumes.</t>
        </is>
      </c>
      <c r="E7" s="68" t="inlineStr">
        <is>
          <t>Le backfill télécharge le fichier complet en HTTPS, une seule fois, à la demande.</t>
        </is>
      </c>
    </row>
    <row r="8" ht="45.75" customHeight="1" s="28">
      <c r="A8" s="68" t="inlineStr">
        <is>
          <t>NOAA SWPC (collecte horaire)</t>
        </is>
      </c>
      <c r="B8" s="68" t="inlineStr">
        <is>
          <t>Avertissement légal du NWS (dont dépend le SWPC)</t>
        </is>
      </c>
      <c r="C8" s="68" t="inlineStr">
        <is>
          <t>https://www.weather.gov/DISCLAIMER.PHP</t>
        </is>
      </c>
      <c r="D8" s="68" t="inlineStr">
        <is>
          <t>Les informations des serveurs du gouvernement sont dans le domaine public, utilisables librement à condition de ne pas se les attribuer, de ne pas laisser croire à un soutien de la NOAA, et de ne pas présenter des données modifiées comme officielles.</t>
        </is>
      </c>
      <c r="E8" s="68" t="inlineStr">
        <is>
          <t>Citer NOAA SWPC comme source. Dans l'application, présenter la prévision comme celle d'AuroraCast, jamais comme une prévision NOAA.</t>
        </is>
      </c>
    </row>
    <row r="9" ht="23.25" customHeight="1" s="28">
      <c r="A9" s="68" t="inlineStr">
        <is>
          <t>NOAA SWPC (collecte horaire)</t>
        </is>
      </c>
      <c r="B9" s="68" t="inlineStr">
        <is>
          <t>Fiche data.gov « Space Weather Products »</t>
        </is>
      </c>
      <c r="C9" s="68" t="inlineStr">
        <is>
          <t>https://catalog-old.data.gov/dataset/space-weather-products2</t>
        </is>
      </c>
      <c r="D9" s="68" t="inlineStr">
        <is>
          <t>Considéré comme une œuvre du gouvernement américain. Contraintes d'accès : aucune. Contraintes d'usage : aucune.</t>
        </is>
      </c>
      <c r="E9" s="68" t="inlineStr">
        <is>
          <t>Collecte et réutilisation autorisées.</t>
        </is>
      </c>
    </row>
    <row r="10" ht="23.25" customHeight="1" s="28">
      <c r="A10" s="68" t="inlineStr">
        <is>
          <t>NOAA SWPC (collecte horaire)</t>
        </is>
      </c>
      <c r="B10" s="68" t="inlineStr">
        <is>
          <t>Accès automatisé</t>
        </is>
      </c>
      <c r="C10" s="68" t="inlineStr">
        <is>
          <t>https://services.swpc.noaa.gov/</t>
        </is>
      </c>
      <c r="D10" s="68" t="inlineStr">
        <is>
          <t>Aucune mention de limite de requêtes trouvée.</t>
        </is>
      </c>
      <c r="E10" s="68" t="inlineStr">
        <is>
          <t>Bonnes pratiques : une requête par heure et par fichier, User-Agent identifiable avec contact, nouvelles tentatives espacées.</t>
        </is>
      </c>
    </row>
    <row r="11" ht="45.75" customHeight="1" s="28">
      <c r="A11" s="68" t="inlineStr">
        <is>
          <t>OMNIWeb (NASA SPDF, vent solaire historique)</t>
        </is>
      </c>
      <c r="B11" s="68" t="inlineStr">
        <is>
          <t>Page « Citing OMNI »</t>
        </is>
      </c>
      <c r="C11" s="68" t="inlineStr">
        <is>
          <t>https://omniweb.gsfc.nasa.gov/html/citing.html</t>
        </is>
      </c>
      <c r="D11" s="68" t="inlineStr">
        <is>
          <t>Citer le jeu de données OMNI horaire par son DOI en ajoutant la date d'accès ; remerciement suggéré : « We acknowledge use of NASA/GSFC's Space Physics Data Facility's OMNIWeb (or CDAWeb or ftp) service, and OMNI data ». Pas d'autre politique d'usage.</t>
        </is>
      </c>
      <c r="E11" s="68" t="inlineStr">
        <is>
          <t>Citer Papitashvili et King (2020), OMNI Hourly Data, DOI 10.48322/1shr-ht18, avec la date d'accès, et King et Papitashvili (2005), DOI 10.1029/2004JA010649.</t>
        </is>
      </c>
    </row>
    <row r="12" ht="23.25" customHeight="1" s="28">
      <c r="A12" s="68" t="inlineStr">
        <is>
          <t>OMNIWeb (NASA SPDF, vent solaire historique)</t>
        </is>
      </c>
      <c r="B12" s="68" t="inlineStr">
        <is>
          <t>Description du format omni2.text</t>
        </is>
      </c>
      <c r="C12" s="68" t="inlineStr">
        <is>
          <t>https://spdf.gsfc.nasa.gov/pub/data/omni/low_res_omni/omni2.text</t>
        </is>
      </c>
      <c r="D12" s="68" t="inlineStr">
        <is>
          <t>Les publications utilisant ces données doivent remercier le Space Physics Data Facility (SPDF).</t>
        </is>
      </c>
      <c r="E12" s="68" t="inlineStr">
        <is>
          <t>Mention du SPDF dans le dossier et la documentation.</t>
        </is>
      </c>
    </row>
    <row r="13" ht="23.25" customHeight="1" s="28">
      <c r="A13" s="68" t="inlineStr">
        <is>
          <t>OMNIWeb (NASA SPDF, vent solaire historique)</t>
        </is>
      </c>
      <c r="B13" s="68" t="inlineStr">
        <is>
          <t>Répertoire public des fichiers annuels</t>
        </is>
      </c>
      <c r="C13" s="68" t="inlineStr">
        <is>
          <t>https://spdf.gsfc.nasa.gov/pub/data/omni/low_res_omni/</t>
        </is>
      </c>
      <c r="D13" s="68" t="inlineStr">
        <is>
          <t>Répertoire public en HTTPS, un fichier par année (omni2_AAAA.dat, environ 2,7 Mo).</t>
        </is>
      </c>
      <c r="E13" s="68" t="inlineStr">
        <is>
          <t>Crawling du répertoire pour découvrir les fichiers, puis téléchargement un par un avec une pause entre deux fichiers.</t>
        </is>
      </c>
    </row>
    <row r="14" ht="34.5" customHeight="1" s="28">
      <c r="A14" s="68" t="inlineStr">
        <is>
          <t>Open-Meteo (nébulosité historique, écarté)</t>
        </is>
      </c>
      <c r="B14" s="68" t="inlineStr">
        <is>
          <t>Conditions d'utilisation</t>
        </is>
      </c>
      <c r="C14" s="68" t="inlineStr">
        <is>
          <t>https://open-meteo.com/en/terms</t>
        </is>
      </c>
      <c r="D14" s="68" t="inlineStr">
        <is>
          <t>API gratuite réservée à l'usage non commercial (l'usage éducatif en fait partie ; les sites avec abonnement ou publicité sont commerciaux). Limites : moins de 10 000 appels par jour, 5 000 par heure, 600 par minute, 300 000 par mois.</t>
        </is>
      </c>
      <c r="E14" s="68" t="inlineStr">
        <is>
          <t>Projet de certification : autorisé. Backfill découpé par lieu et par année, avec pause entre les appels. Si AuroraCast devient commercial : abonnement avec clé d'API.</t>
        </is>
      </c>
    </row>
    <row r="15" ht="34.5" customHeight="1" s="28">
      <c r="A15" s="68" t="inlineStr">
        <is>
          <t>Open-Meteo (nébulosité historique, écarté)</t>
        </is>
      </c>
      <c r="B15" s="68" t="inlineStr">
        <is>
          <t>Licence</t>
        </is>
      </c>
      <c r="C15" s="68" t="inlineStr">
        <is>
          <t>https://open-meteo.com/en/licence</t>
        </is>
      </c>
      <c r="D15" s="68" t="inlineStr">
        <is>
          <t>Données sous CC BY 4.0. Un lien « Weather data by Open-Meteo.com » doit figurer à côté de chaque endroit où les données sont affichées. Sources sous-jacentes listées, dont Copernicus (C3S) et l'ECMWF.</t>
        </is>
      </c>
      <c r="E15" s="68" t="inlineStr">
        <is>
          <t>Afficher le lien Open-Meteo dans le tableau de bord du directeur ; citer Open-Meteo et Copernicus dans le dossier.</t>
        </is>
      </c>
    </row>
    <row r="16" ht="45.75" customHeight="1" s="28">
      <c r="A16" s="67" t="inlineStr">
        <is>
          <t>NOAA GHCNh (nébulosité observée)</t>
        </is>
      </c>
      <c r="B16" s="27" t="inlineStr">
        <is>
          <t>Fiche data.gov GHCNh Version 1</t>
        </is>
      </c>
      <c r="C16" s="27" t="inlineStr">
        <is>
          <t>https://catalog.data.gov/dataset/global-historical-climatology-network-hourly-ghcnh-version-1</t>
        </is>
      </c>
      <c r="D16" s="27" t="inlineStr">
        <is>
          <t>Licence CC0 1.0 (domaine public). Remplace le jeu « Global Hourly » (ISD), qui n'est plus mis à jour depuis le 24/08/2025.</t>
        </is>
      </c>
      <c r="E16" s="27" t="inlineStr">
        <is>
          <t>Collecte et réutilisation autorisées, y compris le stockage.</t>
        </is>
      </c>
    </row>
    <row r="17" ht="15" customHeight="1" s="28">
      <c r="A17" s="27" t="inlineStr">
        <is>
          <t>NOAA GHCNh (nébulosité observée)</t>
        </is>
      </c>
      <c r="B17" s="27" t="inlineStr">
        <is>
          <t>Registre AWS Open Data « NOAA GHCN-H »</t>
        </is>
      </c>
      <c r="C17" s="27" t="inlineStr">
        <is>
          <t>https://registry.opendata.aws/noaa-ghcnh/</t>
        </is>
      </c>
      <c r="D17" s="27" t="inlineStr">
        <is>
          <t>Fichiers publics dans l'espace noaa-ghcnh-pds (us-east-1). NOAA demande d'être citée pour un usage de données non modifiées et interdit de laisser croire à son soutien.</t>
        </is>
      </c>
      <c r="E17" s="27" t="inlineStr">
        <is>
          <t>Citer NOAA NCEI, GHCNh Version 1, DOI 10.25921/jp3d-3v19. Accès par fichier annuel par station, une requête par fichier avec pause.</t>
        </is>
      </c>
    </row>
    <row r="18" ht="15" customHeight="1" s="28">
      <c r="A18" s="68" t="inlineStr">
        <is>
          <t>NOAA ISD Global Hourly (écarté)</t>
        </is>
      </c>
      <c r="B18" s="68" t="inlineStr">
        <is>
          <t>Avis NESDIS de changement de service</t>
        </is>
      </c>
      <c r="C18" s="68" t="inlineStr">
        <is>
          <t>https://www.nesdis.noaa.gov/news/service-location-change-integrated-surface-data-global-hourly</t>
        </is>
      </c>
      <c r="D18" s="68" t="inlineStr">
        <is>
          <t>Produit remplacé : plus de mise à jour après le 24/08/2025 ; téléchargement direct retiré le 31/07/2026 ; GHCNh recommandé.</t>
        </is>
      </c>
      <c r="E18" s="68" t="inlineStr">
        <is>
          <t>Écarté : pas de données récentes.</t>
        </is>
      </c>
    </row>
    <row r="19" ht="15" customHeight="1" s="28">
      <c r="A19" s="68" t="inlineStr">
        <is>
          <t>NOAA GSOD (météo quotidienne, SQL)</t>
        </is>
      </c>
      <c r="B19" s="68" t="inlineStr">
        <is>
          <t>Fiche de métadonnées NCEI (GSOD, gov.noaa.ncdc:C00516)</t>
        </is>
      </c>
      <c r="C19" s="68" t="inlineStr">
        <is>
          <t>https://www.ncei.noaa.gov/metadata/geoportal/rest/metadata/item/gov.noaa.ncdc:C00516/html</t>
        </is>
      </c>
      <c r="D19" s="68" t="inlineStr">
        <is>
          <t>Aucune licence restrictive indiquée ; NOAA et NCEI ne donnent aucune garantie d'exactitude ou d'exhaustivité, l'utilisateur juge de l'usage des données. Citation demandée : « NOAA National Centers of Environmental Information. 1999. Global Surface Summary of the Day - GSOD. 1.0. [sous-ensemble utilisé]. Accessed [date] ».</t>
        </is>
      </c>
      <c r="E19" s="68" t="inlineStr">
        <is>
          <t>Collecte et réutilisation autorisées (œuvre du gouvernement américain, comme NOAA SWPC). Citer NCEI avec les 3 stations et la date d'accès. Qualité vérifiée par nos soins (rapport de qualité, incident INC-004).</t>
        </is>
      </c>
    </row>
    <row r="20" ht="15" customHeight="1" s="28">
      <c r="A20" s="68" t="inlineStr">
        <is>
          <t>NOAA GSOD (météo quotidienne, SQL)</t>
        </is>
      </c>
      <c r="B20" s="68" t="inlineStr">
        <is>
          <t>Google BigQuery, programme Public Datasets</t>
        </is>
      </c>
      <c r="C20" s="68" t="inlineStr">
        <is>
          <t>https://docs.cloud.google.com/bigquery/public-data</t>
        </is>
      </c>
      <c r="D20" s="68" t="inlineStr">
        <is>
          <t>Google paie le stockage ; l'utilisateur ne paie que ses requêtes, le premier To par mois est gratuit, et le mode sans facturation (sandbox) suffit en dessous. Pas de garantie de service (SLA). Les conditions propres aux données sont celles de leur producteur (ici la NOAA).</t>
        </is>
      </c>
      <c r="E20" s="68" t="inlineStr">
        <is>
          <t>Mode sandbox, sans carte bancaire. Chaque requête est d'abord estimée à blanc puis plafonnée à 15 Go (la plus grosse lit 8,7 Go). Compte de service limité au rôle « Utilisateur de job BigQuery ».</t>
        </is>
      </c>
    </row>
    <row r="21" ht="105" customHeight="1" s="28">
      <c r="A21" s="68" t="inlineStr">
        <is>
          <t>MET Norway (prévisions météo)</t>
        </is>
      </c>
      <c r="B21" s="68" t="inlineStr">
        <is>
          <t>Conditions d'utilisation de l'API</t>
        </is>
      </c>
      <c r="C21" s="68" t="inlineStr">
        <is>
          <t>https://api.met.no/doc/TermsOfService</t>
        </is>
      </c>
      <c r="D21" s="68" t="inlineStr">
        <is>
          <t>User-Agent identifiable avec contact obligatoire ; plus de 20 requêtes par seconde : accord spécial, sinon HTTP 429 ; ne pas redemander avant l'en-tête Expires, utiliser If-Modified-Since ; coordonnées à 4 décimales au plus (5 : HTTP 403) ; données ouvertes sous CC BY 4.0 (citer, lien vers la licence, signaler les modifications) ; interdit de contourner les limites ou d'usurper un autre client, sous peine de blocage définitif.</t>
        </is>
      </c>
      <c r="E21" s="68" t="inlineStr">
        <is>
          <t>3 requêtes toutes les 3 h, User-Agent « AuroraCast » avec contact, Expires et If-Modified-Since lus dans les manifestes, coordonnées tronquées à 4 décimales (en décimal). Citer « Données MET Norway, CC BY 4.0 » dans l'application et le dossier.</t>
        </is>
      </c>
    </row>
    <row r="22" ht="60" customHeight="1" s="28">
      <c r="A22" s="68" t="inlineStr">
        <is>
          <t>MET Norway (prévisions météo)</t>
        </is>
      </c>
      <c r="B22" s="68" t="inlineStr">
        <is>
          <t>robots.txt</t>
        </is>
      </c>
      <c r="C22" s="68" t="inlineStr">
        <is>
          <t>https://api.met.no/robots.txt</t>
        </is>
      </c>
      <c r="D22" s="68" t="inlineStr">
        <is>
          <t>Googlebot et AdsBot-Google : seule la documentation est permise, /weatherapi/* interdit. « User-agent: * » : Disallow vide, donc tout est permis.</t>
        </is>
      </c>
      <c r="E22" s="68" t="inlineStr">
        <is>
          <t>Collecte autorisée pour AuroraCast ; vérifié automatiquement à chaque passage (manifeste : robots = « lu », allowed = true).</t>
        </is>
      </c>
    </row>
    <row r="23" ht="15" customHeight="1" s="28">
      <c r="A23" s="68" t="inlineStr">
        <is>
          <t>Toutes les sources</t>
        </is>
      </c>
    </row>
    <row r="24" ht="90" customHeight="1" s="28"/>
    <row r="25" ht="15" customHeight="1" s="28">
      <c r="A25" s="67" t="inlineStr">
        <is>
          <t>Conclusion</t>
        </is>
      </c>
    </row>
    <row r="26" ht="105" customHeight="1" s="28">
      <c r="A26" s="46" t="inlineStr">
        <is>
          <t>GFZ, NOAA SWPC, OMNIWeb, NOAA GHCNh, NOAA GSOD (via BigQuery) et MET Norway autorisent la collecte et la réutilisation pour un projet de certification, à condition de les citer. Open-Meteo est écarté : le robots.txt de son API d'archive interdit l'accès (incident INC-002). Restriction d'usage commercial à retenir : le nombre de taches solaires du fichier GFZ (CC BY-NC 4.0). Obligations d'affichage : une prévision présentée comme celle d'AuroraCast, pas de la NOAA ; mention « Données MET Norway, CC BY 4.0 » à côté des prévisions météo. Coût BigQuery : nul tant que les requêtes restent sous 1 To par mois. Le respect du robots.txt est contrôlé automatiquement à chaque collecte.</t>
        </is>
      </c>
    </row>
  </sheetData>
  <mergeCells count="1">
    <mergeCell ref="A26:E26"/>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L10"/>
  <sheetViews>
    <sheetView showFormulas="0" showGridLines="1"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10" customWidth="1" style="27" min="1" max="1"/>
    <col width="14" customWidth="1" style="27" min="2" max="2"/>
    <col width="26" customWidth="1" style="27" min="3" max="3"/>
    <col width="40" customWidth="1" style="27" min="4" max="4"/>
    <col width="36" customWidth="1" style="27" min="5" max="5"/>
    <col width="44" customWidth="1" style="27" min="6" max="6"/>
    <col width="40" customWidth="1" style="27" min="7" max="7"/>
    <col width="52" customWidth="1" style="27" min="8" max="8"/>
    <col width="14" customWidth="1" style="27" min="9" max="9"/>
    <col width="22" customWidth="1" style="27" min="10" max="10"/>
    <col width="44" customWidth="1" style="27" min="11" max="11"/>
    <col width="18" customWidth="1" style="27" min="12" max="12"/>
  </cols>
  <sheetData>
    <row r="1" ht="17.25" customHeight="1" s="28">
      <c r="A1" s="29" t="inlineStr">
        <is>
          <t>Journal des incidents de collecte</t>
        </is>
      </c>
    </row>
    <row r="2" ht="15" customHeight="1" s="28">
      <c r="A2" s="49" t="inlineStr">
        <is>
          <t>Un incident par ligne, du plus récent au plus ancien (C4.4.2 résolution d'incident, C1.1.2 exhaustivité de la collecte, C4.3.1 supervision).</t>
        </is>
      </c>
    </row>
    <row r="4" ht="30" customHeight="1" s="28">
      <c r="A4" s="45" t="inlineStr">
        <is>
          <t>N°</t>
        </is>
      </c>
      <c r="B4" s="45" t="inlineStr">
        <is>
          <t>Date de détection</t>
        </is>
      </c>
      <c r="C4" s="45" t="inlineStr">
        <is>
          <t>Source / composant</t>
        </is>
      </c>
      <c r="D4" s="45" t="inlineStr">
        <is>
          <t>Symptôme</t>
        </is>
      </c>
      <c r="E4" s="45" t="inlineStr">
        <is>
          <t>Comment il a été détecté</t>
        </is>
      </c>
      <c r="F4" s="45" t="inlineStr">
        <is>
          <t>Cause</t>
        </is>
      </c>
      <c r="G4" s="45" t="inlineStr">
        <is>
          <t>Impact</t>
        </is>
      </c>
      <c r="H4" s="45" t="inlineStr">
        <is>
          <t>Résolution</t>
        </is>
      </c>
      <c r="I4" s="45" t="inlineStr">
        <is>
          <t>Date de résolution</t>
        </is>
      </c>
      <c r="J4" s="45" t="inlineStr">
        <is>
          <t>Statut</t>
        </is>
      </c>
      <c r="K4" s="45" t="inlineStr">
        <is>
          <t>Prévention / leçon</t>
        </is>
      </c>
      <c r="L4" s="45" t="inlineStr">
        <is>
          <t>Compétences</t>
        </is>
      </c>
    </row>
    <row r="5" ht="90" customHeight="1" s="28">
      <c r="A5" s="68" t="inlineStr">
        <is>
          <t>INC-006</t>
        </is>
      </c>
      <c r="B5" s="70" t="n">
        <v>46325</v>
      </c>
      <c r="C5" s="68" t="inlineStr">
        <is>
          <t>Git : documentation docs/donnees_et_modele.md</t>
        </is>
      </c>
      <c r="D5" s="68" t="inlineStr">
        <is>
          <t>Le fichier poussé sur main contenait encore des marques de conflit (&lt;&lt;&lt;&lt;&lt;&lt;&lt; HEAD, =======, &gt;&gt;&gt;&gt;&gt;&gt;&gt;) et un paragraphe en double.</t>
        </is>
      </c>
      <c r="E5" s="68" t="inlineStr">
        <is>
          <t>Conflit signalé au moment d'intégrer une nouvelle modification (git rebase) ; lecture du fichier publié.</t>
        </is>
      </c>
      <c r="F5" s="68" t="inlineStr">
        <is>
          <t>Fusion faite sur le poste de travail sans résoudre le conflit avant le commit.</t>
        </is>
      </c>
      <c r="G5" s="68" t="inlineStr">
        <is>
          <t>Document illisible par endroits ; aucun effet sur le code ni sur les données.</t>
        </is>
      </c>
      <c r="H5" s="68" t="inlineStr">
        <is>
          <t>Conflit résolu en gardant la version simplifiée du haut et les nouvelles parties (commit f5c763c). La CI recherche désormais les marques de conflit et échoue si elle en trouve.</t>
        </is>
      </c>
      <c r="I5" s="70" t="n">
        <v>46325</v>
      </c>
      <c r="J5" s="68" t="inlineStr">
        <is>
          <t>Résolu</t>
        </is>
      </c>
      <c r="K5" s="68" t="inlineStr">
        <is>
          <t>Relire un fichier après une fusion ; laisser la CI bloquer les marques de conflit plutôt que de compter sur la relecture.</t>
        </is>
      </c>
      <c r="L5" s="68" t="inlineStr">
        <is>
          <t>C4.3.1</t>
        </is>
      </c>
    </row>
    <row r="6" ht="79.5" customHeight="1" s="28">
      <c r="A6" s="68" t="inlineStr">
        <is>
          <t>INC-005</t>
        </is>
      </c>
      <c r="B6" s="70" t="n">
        <v>46325</v>
      </c>
      <c r="C6" s="68" t="inlineStr">
        <is>
          <t>GitHub Pages : publication de l'application</t>
        </is>
      </c>
      <c r="D6" s="68" t="inlineStr">
        <is>
          <t>Première publication de l'application : l'étape « application » du workflow de transformation en échec (HTTP 404), l'étape « transform » réussie.</t>
        </is>
      </c>
      <c r="E6" s="68" t="inlineStr">
        <is>
          <t>Exécution GitHub Actions en échec ; annotation « Failed to create deployment (status: 404). Ensure GitHub Pages has been enabled ».</t>
        </is>
      </c>
      <c r="F6" s="68" t="inlineStr">
        <is>
          <t>GitHub Pages n'était pas activé dans les paramètres du dépôt (Settings &gt; Pages &gt; Source : GitHub Actions).</t>
        </is>
      </c>
      <c r="G6" s="68" t="inlineStr">
        <is>
          <t>Application non publiée pendant quelques minutes ; entrepôt et prévisions à jour (étapes séparées).</t>
        </is>
      </c>
      <c r="H6" s="68" t="inlineStr">
        <is>
          <t>Pages activé, puis relance des jobs. Vérifié le 30/10/2026 : application en ligne, prévisions du jour publiées.</t>
        </is>
      </c>
      <c r="I6" s="70" t="n">
        <v>46325</v>
      </c>
      <c r="J6" s="68" t="inlineStr">
        <is>
          <t>Résolu</t>
        </is>
      </c>
      <c r="K6" s="68" t="inlineStr">
        <is>
          <t>Séparer la publication dans son propre job : un problème de diffusion ne bloque pas la mise à jour des données.</t>
        </is>
      </c>
      <c r="L6" s="68" t="inlineStr">
        <is>
          <t>C4.3.1, C4.4.2</t>
        </is>
      </c>
    </row>
    <row r="7" ht="79.5" customHeight="1" s="28">
      <c r="A7" s="68" t="inlineStr">
        <is>
          <t>INC-004</t>
        </is>
      </c>
      <c r="B7" s="70" t="n">
        <v>46322</v>
      </c>
      <c r="C7" s="68" t="inlineStr">
        <is>
          <t>Google BigQuery : base existante bigquery-public-data.noaa_gsod (table stations)</t>
        </is>
      </c>
      <c r="D7" s="68" t="inlineStr">
        <is>
          <t>Backfill SQL GSOD en échec : pour les 3 lieux, « aucune station active à moins de 30 km », alors que les stations TROMSO (0,9 km), KIRUNA (6 km) et ROVANIEMI RAUTATIEASEMA (0,7 km) existent.</t>
        </is>
      </c>
      <c r="E7" s="68" t="inlineStr">
        <is>
          <t>Lecture des résultats de la requête des stations archivés (stations_&lt;lieu&gt;.json) : la colonne « end » vaut 20210920 pour toutes les stations.</t>
        </is>
      </c>
      <c r="F7" s="68" t="inlineStr">
        <is>
          <t>La table de métadonnées « stations » n'est plus mise à jour depuis le 20/09/2021, alors que les tables annuelles de relevés vont jusqu'au 24/08/2025. Le collecteur jugeait l'activité d'une station sur cette date de fin.</t>
        </is>
      </c>
      <c r="G7" s="68" t="inlineStr">
        <is>
          <t>Aucune donnée météo quotidienne collectée pendant ce lancement. Pas de perte durable : la base est historique.</t>
        </is>
      </c>
      <c r="H7" s="68" t="inlineStr">
        <is>
          <t>L'activité d'une station est désormais mesurée dans les relevés eux-mêmes : la requête des stations est jointe (LEFT JOIN) aux relevés de la dernière année et compte les jours mesurés ; une station est retenue avec au moins 30 jours. Test ajouté (commit fd4ff50). Vérifié le 27/10/2026 à 10:45 UTC : 3 stations retenues (236 jours en 2025 chacune), 16 832 jours collectés pour 2010-2025, 8,7 Go lus, coût nul.</t>
        </is>
      </c>
      <c r="I7" s="70" t="n">
        <v>46322</v>
      </c>
      <c r="J7" s="68" t="inlineStr">
        <is>
          <t>Résolu</t>
        </is>
      </c>
      <c r="K7" s="68" t="inlineStr">
        <is>
          <t>Ne pas faire confiance aux métadonnées d'une base existante : contrôler dans les données elles-mêmes (qualité des données, C1.1.2). Archiver le résultat de chaque requête pour pouvoir diagnostiquer.</t>
        </is>
      </c>
      <c r="L7" s="68" t="inlineStr">
        <is>
          <t>C1.1.2, C4.4.2</t>
        </is>
      </c>
    </row>
    <row r="8" ht="79.5" customHeight="1" s="28">
      <c r="A8" s="68" t="inlineStr">
        <is>
          <t>INC-003</t>
        </is>
      </c>
      <c r="B8" s="70" t="n">
        <v>46322</v>
      </c>
      <c r="C8" s="68" t="inlineStr">
        <is>
          <t>GitHub Actions : planification de la collecte NOAA horaire</t>
        </is>
      </c>
      <c r="D8" s="68" t="inlineStr">
        <is>
          <t>Entre le 26/10 à 19:52 UTC et le 27/10 à 08:40 UTC, seulement 2 passages automatiques (23:40 et 04:32 UTC, environ 33 min de retard) au lieu d'environ 13. Les deux passages ont collecté 9 sources sur 9.</t>
        </is>
      </c>
      <c r="E8" s="68" t="inlineStr">
        <is>
          <t>Comparaison des commits horodatés de la branche raw-data avec la planification (cron « 7 * * * * »).</t>
        </is>
      </c>
      <c r="F8" s="68" t="inlineStr">
        <is>
          <t>L'ordonnanceur de GitHub Actions fonctionne au mieux : la documentation indique que les exécutions planifiées peuvent être retardées, voire supprimées, en période de forte charge, surtout aux heures pleines.</t>
        </is>
      </c>
      <c r="G8" s="68" t="inlineStr">
        <is>
          <t>Kp : aucune perte (le fichier NOAA couvre 7 jours). Vent solaire temps réel : environ 8 h de mesures perdues, à recompléter par OMNIWeb (publié avec environ un mois de retard). Prévisions et alertes émises entre deux passages : en partie perdues.</t>
        </is>
      </c>
      <c r="H8" s="68" t="inlineStr">
        <is>
          <t>Collecte incrémentale du vent solaire : chaque passage reprend après la dernière mesure archivée (lue dans les manifestes précédents), avec 10 min de recouvrement ; une perte n'est possible qu'au-delà de la profondeur du fichier NOAA (environ 20 h, mesurée sur les fichiers archivés) et elle est alors notée au manifeste (lost_from, lost_to). Vérifié du 27/10 au 29/10/2026 : GitHub n'a lancé la collecte que toutes les 4 à 6 h, sans aucune minute de vent solaire perdue. Cadence ensuite fixée à un passage toutes les 3 h (cron « 17 */3 * * * », commit 94f987f), choisie d'après la profondeur mesurée des flux : vent solaire environ 20 h, Kp observé 7 jours, alertes 30 jours ; seul kp_1m (environ 6 h) peut garder des trous, sans effet sur le modèle.</t>
        </is>
      </c>
      <c r="I8" s="70" t="n">
        <v>46324</v>
      </c>
      <c r="J8" s="68" t="inlineStr">
        <is>
          <t>Résolu</t>
        </is>
      </c>
      <c r="K8" s="68" t="inlineStr">
        <is>
          <t>Ne pas compter sur un ordonnanceur « au mieux » pour une collecte critique : argument pour Airflow (C1.1.3, C4.2.2). Concevoir les collectes pour être rattrapables (incrémentales et idempotentes), et choisir la fréquence d'après la profondeur mesurée de chaque flux plutôt qu'au plus souvent possible.</t>
        </is>
      </c>
      <c r="L8" s="68" t="inlineStr">
        <is>
          <t>C4.4.2, C1.1.3, C4.3.1</t>
        </is>
      </c>
    </row>
    <row r="9">
      <c r="A9" s="68" t="inlineStr">
        <is>
          <t>INC-002</t>
        </is>
      </c>
      <c r="B9" s="70" t="n">
        <v>46321</v>
      </c>
      <c r="C9" s="68" t="inlineStr">
        <is>
          <t>Open-Meteo : API d'archive (nébulosité historique)</t>
        </is>
      </c>
      <c r="D9" s="68" t="inlineStr">
        <is>
          <t>Premier backfill : les 51 séries lieu-année Open-Meteo refusées, aucune donnée téléchargée (GFZ et OMNIWeb collectés sans erreur).</t>
        </is>
      </c>
      <c r="E9" s="68" t="inlineStr">
        <is>
          <t>Manifeste du backfill : robots = « lu », allowed = false, erreur « interdit par https://archive-api.open-meteo.com/robots.txt ». Exécution GitHub Actions en échec.</t>
        </is>
      </c>
      <c r="F9" s="68" t="inlineStr">
        <is>
          <t>Le robots.txt du sous-domaine archive-api.open-meteo.com interdit l'accès à tous les robots, alors que les conditions d'utilisation autorisent l'API gratuite en usage non commercial. Le contrôle robots.txt ajouté au collecteur a joué son rôle.</t>
        </is>
      </c>
      <c r="G9" s="68" t="inlineStr">
        <is>
          <t>Pas d'historique de nébulosité. Sans effet sur le modèle de Kp (qui ne dépend pas du lieu) ; bloque l'analyse des nuits dégagées par lieu.</t>
        </is>
      </c>
      <c r="H9" s="68" t="inlineStr">
        <is>
          <t>Décision : appliquer strictement le robots.txt plutôt qu'une exception. Comparaison de sources (NASA POWER interdit par robots.txt ; NOAA ISD figé depuis le 24/08/2025) et choix de NOAA GHCNh (CC0, mis à jour chaque jour, accès autorisé). Open-Meteo retiré du workflow de backfill ; recherche des stations GHCNh proches des lieux cibles.</t>
        </is>
      </c>
      <c r="I9" s="70" t="n"/>
      <c r="J9" s="68" t="inlineStr">
        <is>
          <t>Résolu (bascule vers NOAA GHCNh, historique collecté)</t>
        </is>
      </c>
      <c r="K9" s="68" t="inlineStr">
        <is>
          <t>Contrôler le robots.txt de chaque hôte (et pas seulement du site principal : open-meteo.com autorise, archive-api.open-meteo.com interdit) avant de retenir une source.</t>
        </is>
      </c>
      <c r="L9" s="68" t="inlineStr">
        <is>
          <t>C1.1.2, C4.4.2, C3.3.3</t>
        </is>
      </c>
    </row>
    <row r="10">
      <c r="A10" s="68" t="inlineStr">
        <is>
          <t>INC-001</t>
        </is>
      </c>
      <c r="B10" s="70" t="n">
        <v>46321</v>
      </c>
      <c r="C10" s="68" t="inlineStr">
        <is>
          <t>NOAA SWPC : vent solaire (champ magnétique et plasma)</t>
        </is>
      </c>
      <c r="D10" s="68" t="inlineStr">
        <is>
          <t>Premier lancement de la collecte horaire (GitHub Actions) : 7 sources sur 9 collectées, les 2 sources du vent solaire en erreur HTTP 404.</t>
        </is>
      </c>
      <c r="E10" s="68" t="inlineStr">
        <is>
          <t>Manifeste de l'exécution (ok = false, http_status = 404) et exécution GitHub Actions marquée en échec par l'étape « Signaler un échec partiel ».</t>
        </is>
      </c>
      <c r="F10" s="68" t="inlineStr">
        <is>
          <t>La NOAA a retiré l'ancien dossier /products/solar-wind/ (mag-*.json, plasma-*.json). Les données sont désormais publiées dans /json/rtsw/ (rtsw_mag_1m.json, rtsw_wind_1m.json).</t>
        </is>
      </c>
      <c r="G10" s="68" t="inlineStr">
        <is>
          <t>Bz, Bt, vitesse et densité du vent solaire (variables essentielles) non collectés pendant ce lancement. Pas de perte durable : la collecte venait de démarrer.</t>
        </is>
      </c>
      <c r="H10" s="68" t="inlineStr">
        <is>
          <t>Bascule sur les flux temps réel RTSW. Ces fichiers (1,4 à 2,4 Mo) sont réduits aux 3 dernières heures, sans modifier les enregistrements gardés ; le manifeste note les lignes reçues et gardées. Un flux figé (aucune donnée récente) est signalé en échec. Tests ajoutés. Commit d5bcc17. Vérifié le 26/10/2026 à 19:52 UTC (exécution #2) : 9 sources sur 9 collectées, 264 et 248 mesures de vent solaire gardées.</t>
        </is>
      </c>
      <c r="I10" s="70" t="n">
        <v>46321</v>
      </c>
      <c r="J10" s="68" t="inlineStr">
        <is>
          <t>Résolu</t>
        </is>
      </c>
      <c r="K10" s="68" t="inlineStr">
        <is>
          <t>Lire le manifeste après chaque exécution. Vérifier les URL dans la documentation NOAA : le listing du répertoire affichait encore les anciens fichiers.</t>
        </is>
      </c>
      <c r="L10" s="68" t="inlineStr">
        <is>
          <t>C4.4.2, C1.1.2, C4.3.1</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2026-10-26T14:26:39Z</dcterms:created>
  <dcterms:modified xmlns:dcterms="http://purl.org/dc/terms/" xmlns:xsi="http://www.w3.org/2001/XMLSchema-instance" xsi:type="dcterms:W3CDTF">2026-10-30T10:57:56Z</dcterms:modified>
  <cp:revision>0</cp:revision>
</cp:coreProperties>
</file>